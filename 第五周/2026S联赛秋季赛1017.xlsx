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逆水\Desktop\2026S联赛秋季赛\"/>
    </mc:Choice>
  </mc:AlternateContent>
  <xr:revisionPtr revIDLastSave="0" documentId="13_ncr:1_{FC49BF0F-7BFA-4293-9C85-F24773C81AB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竞速数据" sheetId="1" r:id="rId1"/>
    <sheet name="纪录数据" sheetId="3" r:id="rId2"/>
    <sheet name="道具数据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3" i="1"/>
  <c r="E43" i="1"/>
  <c r="E23" i="1"/>
  <c r="E55" i="1"/>
  <c r="E33" i="1"/>
  <c r="K28" i="2"/>
  <c r="Q88" i="1"/>
  <c r="Q87" i="1"/>
  <c r="Q94" i="1"/>
  <c r="Q90" i="1"/>
  <c r="Q93" i="1"/>
  <c r="Q92" i="1"/>
  <c r="Q89" i="1"/>
  <c r="Q91" i="1"/>
  <c r="K94" i="1"/>
  <c r="K93" i="1"/>
  <c r="K90" i="1"/>
  <c r="K92" i="1"/>
  <c r="K88" i="1"/>
  <c r="K87" i="1"/>
  <c r="K91" i="1"/>
  <c r="K89" i="1"/>
  <c r="Q67" i="1"/>
  <c r="Q66" i="1"/>
  <c r="Q62" i="1"/>
  <c r="Q69" i="1"/>
  <c r="Q63" i="1"/>
  <c r="Q65" i="1"/>
  <c r="Q68" i="1"/>
  <c r="Q64" i="1"/>
  <c r="Q80" i="1"/>
  <c r="Q79" i="1"/>
  <c r="Q75" i="1"/>
  <c r="Q82" i="1"/>
  <c r="Q77" i="1"/>
  <c r="Q78" i="1"/>
  <c r="Q81" i="1"/>
  <c r="Q76" i="1"/>
  <c r="K80" i="1"/>
  <c r="K82" i="1"/>
  <c r="K79" i="1"/>
  <c r="K77" i="1"/>
  <c r="K78" i="1"/>
  <c r="K75" i="1"/>
  <c r="K76" i="1"/>
  <c r="K81" i="1"/>
  <c r="K67" i="1"/>
  <c r="K69" i="1"/>
  <c r="K65" i="1"/>
  <c r="K62" i="1"/>
  <c r="K68" i="1"/>
  <c r="K66" i="1"/>
  <c r="K63" i="1"/>
  <c r="K64" i="1"/>
  <c r="K7" i="2"/>
  <c r="K9" i="2"/>
  <c r="K6" i="2"/>
  <c r="K10" i="2"/>
  <c r="K5" i="2"/>
  <c r="K8" i="2"/>
  <c r="K12" i="2"/>
  <c r="K11" i="2"/>
  <c r="K13" i="2"/>
  <c r="K14" i="2"/>
  <c r="K16" i="2"/>
  <c r="K22" i="2"/>
  <c r="K15" i="2"/>
  <c r="K19" i="2"/>
  <c r="K21" i="2"/>
  <c r="K23" i="2"/>
  <c r="K20" i="2"/>
  <c r="K17" i="2"/>
  <c r="K18" i="2"/>
  <c r="K24" i="2"/>
  <c r="K26" i="2"/>
  <c r="K25" i="2"/>
  <c r="K27" i="2"/>
  <c r="E5" i="1"/>
  <c r="E57" i="1"/>
  <c r="E35" i="1"/>
  <c r="K4" i="2"/>
  <c r="E35" i="2"/>
  <c r="E34" i="2"/>
  <c r="E33" i="2"/>
  <c r="E31" i="2"/>
  <c r="E32" i="2"/>
  <c r="E29" i="2"/>
  <c r="E30" i="2"/>
  <c r="E28" i="2"/>
  <c r="E23" i="2"/>
  <c r="E21" i="2"/>
  <c r="E22" i="2"/>
  <c r="E19" i="2"/>
  <c r="E20" i="2"/>
  <c r="E17" i="2"/>
  <c r="E18" i="2"/>
  <c r="E16" i="2"/>
  <c r="E7" i="2"/>
  <c r="E4" i="2"/>
  <c r="E8" i="2"/>
  <c r="E5" i="2"/>
  <c r="E10" i="2"/>
  <c r="E9" i="2"/>
  <c r="E11" i="2"/>
  <c r="E6" i="2"/>
  <c r="E88" i="1"/>
  <c r="E87" i="1"/>
  <c r="E86" i="1"/>
  <c r="E85" i="1"/>
  <c r="E81" i="1"/>
  <c r="E80" i="1"/>
  <c r="E79" i="1"/>
  <c r="E84" i="1"/>
  <c r="E83" i="1"/>
  <c r="E82" i="1"/>
  <c r="E67" i="1"/>
  <c r="E66" i="1"/>
  <c r="E62" i="1"/>
  <c r="E64" i="1"/>
  <c r="E63" i="1"/>
  <c r="E68" i="1"/>
  <c r="E69" i="1"/>
  <c r="E70" i="1"/>
  <c r="E71" i="1"/>
  <c r="E72" i="1"/>
  <c r="E73" i="1"/>
  <c r="E74" i="1"/>
  <c r="E65" i="1"/>
  <c r="K53" i="1"/>
  <c r="K56" i="1"/>
  <c r="K54" i="1"/>
  <c r="K50" i="1"/>
  <c r="K55" i="1"/>
  <c r="K51" i="1"/>
  <c r="K52" i="1"/>
  <c r="K49" i="1"/>
  <c r="K44" i="1"/>
  <c r="K40" i="1"/>
  <c r="K42" i="1"/>
  <c r="K39" i="1"/>
  <c r="K43" i="1"/>
  <c r="K41" i="1"/>
  <c r="K38" i="1"/>
  <c r="K37" i="1"/>
  <c r="K19" i="1"/>
  <c r="K18" i="1"/>
  <c r="K21" i="1"/>
  <c r="K17" i="1"/>
  <c r="K22" i="1"/>
  <c r="K16" i="1"/>
  <c r="K20" i="1"/>
  <c r="K23" i="1"/>
  <c r="E41" i="1"/>
  <c r="E46" i="1"/>
  <c r="E45" i="1"/>
  <c r="E53" i="1"/>
  <c r="E40" i="1"/>
  <c r="E51" i="1"/>
  <c r="E49" i="1"/>
  <c r="E44" i="1"/>
  <c r="E54" i="1"/>
  <c r="E52" i="1"/>
  <c r="E48" i="1"/>
  <c r="E47" i="1"/>
  <c r="E50" i="1"/>
  <c r="E42" i="1"/>
  <c r="E56" i="1"/>
  <c r="E39" i="1"/>
  <c r="E19" i="1"/>
  <c r="E31" i="1"/>
  <c r="E21" i="1"/>
  <c r="E34" i="1"/>
  <c r="E29" i="1"/>
  <c r="E22" i="1"/>
  <c r="E32" i="1"/>
  <c r="E30" i="1"/>
  <c r="E17" i="1"/>
  <c r="E20" i="1"/>
  <c r="E25" i="1"/>
  <c r="E27" i="1"/>
  <c r="E18" i="1"/>
  <c r="E24" i="1"/>
  <c r="E26" i="1"/>
  <c r="E28" i="1"/>
  <c r="E10" i="1"/>
  <c r="E12" i="1"/>
  <c r="E7" i="1"/>
  <c r="E4" i="1"/>
  <c r="E8" i="1"/>
  <c r="E9" i="1"/>
  <c r="E6" i="1"/>
</calcChain>
</file>

<file path=xl/sharedStrings.xml><?xml version="1.0" encoding="utf-8"?>
<sst xmlns="http://schemas.openxmlformats.org/spreadsheetml/2006/main" count="830" uniqueCount="326">
  <si>
    <t>排名</t>
    <phoneticPr fontId="1" type="noConversion"/>
  </si>
  <si>
    <t>选手</t>
    <phoneticPr fontId="1" type="noConversion"/>
  </si>
  <si>
    <t>AG.Zhong</t>
    <phoneticPr fontId="1" type="noConversion"/>
  </si>
  <si>
    <t>AG.HeiRen</t>
    <phoneticPr fontId="1" type="noConversion"/>
  </si>
  <si>
    <t>XROCK.Ani</t>
    <phoneticPr fontId="1" type="noConversion"/>
  </si>
  <si>
    <t>KZ</t>
    <phoneticPr fontId="1" type="noConversion"/>
  </si>
  <si>
    <t>RW</t>
    <phoneticPr fontId="1" type="noConversion"/>
  </si>
  <si>
    <t>XROCK</t>
    <phoneticPr fontId="1" type="noConversion"/>
  </si>
  <si>
    <t>RSG</t>
    <phoneticPr fontId="1" type="noConversion"/>
  </si>
  <si>
    <t>Wz</t>
    <phoneticPr fontId="1" type="noConversion"/>
  </si>
  <si>
    <t>QY</t>
    <phoneticPr fontId="1" type="noConversion"/>
  </si>
  <si>
    <t>AG</t>
    <phoneticPr fontId="1" type="noConversion"/>
  </si>
  <si>
    <t>KZ.YanG</t>
    <phoneticPr fontId="1" type="noConversion"/>
  </si>
  <si>
    <t>AG.yu</t>
    <phoneticPr fontId="1" type="noConversion"/>
  </si>
  <si>
    <t>XROCK.Peng</t>
    <phoneticPr fontId="1" type="noConversion"/>
  </si>
  <si>
    <t>RSG.Duck</t>
    <phoneticPr fontId="1" type="noConversion"/>
  </si>
  <si>
    <r>
      <rPr>
        <sz val="11"/>
        <color theme="1"/>
        <rFont val="宋体"/>
        <family val="3"/>
        <charset val="134"/>
      </rPr>
      <t>赛道星等</t>
    </r>
    <phoneticPr fontId="1" type="noConversion"/>
  </si>
  <si>
    <r>
      <rPr>
        <sz val="11"/>
        <color theme="1"/>
        <rFont val="宋体"/>
        <family val="3"/>
        <charset val="134"/>
      </rPr>
      <t>赛道名称</t>
    </r>
    <phoneticPr fontId="1" type="noConversion"/>
  </si>
  <si>
    <r>
      <rPr>
        <sz val="11"/>
        <color theme="1"/>
        <rFont val="宋体"/>
        <family val="3"/>
        <charset val="134"/>
      </rPr>
      <t>成绩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</si>
  <si>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phoneticPr fontId="1" type="noConversion"/>
  </si>
  <si>
    <r>
      <rPr>
        <sz val="11"/>
        <color theme="1"/>
        <rFont val="宋体"/>
        <family val="3"/>
        <charset val="134"/>
      </rPr>
      <t>赛车</t>
    </r>
    <phoneticPr fontId="1" type="noConversion"/>
  </si>
  <si>
    <r>
      <rPr>
        <sz val="11"/>
        <color theme="1"/>
        <rFont val="宋体"/>
        <family val="3"/>
        <charset val="134"/>
      </rPr>
      <t>宠物</t>
    </r>
    <phoneticPr fontId="1" type="noConversion"/>
  </si>
  <si>
    <r>
      <rPr>
        <sz val="11"/>
        <color theme="1"/>
        <rFont val="宋体"/>
        <family val="3"/>
        <charset val="134"/>
      </rPr>
      <t>当局模式</t>
    </r>
    <phoneticPr fontId="1" type="noConversion"/>
  </si>
  <si>
    <t>ECU</t>
    <phoneticPr fontId="1" type="noConversion"/>
  </si>
  <si>
    <r>
      <rPr>
        <sz val="11"/>
        <color theme="1"/>
        <rFont val="宋体"/>
        <family val="3"/>
        <charset val="134"/>
      </rPr>
      <t>破纪录日期</t>
    </r>
    <phoneticPr fontId="1" type="noConversion"/>
  </si>
  <si>
    <r>
      <rPr>
        <sz val="11"/>
        <color theme="1"/>
        <rFont val="宋体"/>
        <family val="3"/>
        <charset val="134"/>
      </rPr>
      <t>三星赛道</t>
    </r>
    <phoneticPr fontId="1" type="noConversion"/>
  </si>
  <si>
    <r>
      <t>11</t>
    </r>
    <r>
      <rPr>
        <sz val="11"/>
        <color theme="1"/>
        <rFont val="宋体"/>
        <family val="3"/>
        <charset val="134"/>
      </rPr>
      <t>城</t>
    </r>
    <phoneticPr fontId="1" type="noConversion"/>
  </si>
  <si>
    <r>
      <rPr>
        <sz val="11"/>
        <color rgb="FF00B0F0"/>
        <rFont val="宋体"/>
        <family val="3"/>
        <charset val="134"/>
      </rPr>
      <t>御天龙神</t>
    </r>
    <phoneticPr fontId="1" type="noConversion"/>
  </si>
  <si>
    <r>
      <rPr>
        <sz val="11"/>
        <color theme="1"/>
        <rFont val="宋体"/>
        <family val="3"/>
        <charset val="134"/>
      </rPr>
      <t>北海渔场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</si>
  <si>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r>
      <rPr>
        <sz val="11"/>
        <color rgb="FF7030A0"/>
        <rFont val="Times New Roman"/>
        <family val="1"/>
      </rPr>
      <t xml:space="preserve"> </t>
    </r>
    <r>
      <rPr>
        <sz val="11"/>
        <color rgb="FF7030A0"/>
        <rFont val="宋体"/>
        <family val="3"/>
        <charset val="134"/>
      </rPr>
      <t>花楹</t>
    </r>
    <phoneticPr fontId="1" type="noConversion"/>
  </si>
  <si>
    <r>
      <rPr>
        <sz val="11"/>
        <color rgb="FF00B050"/>
        <rFont val="宋体"/>
        <family val="3"/>
        <charset val="134"/>
      </rPr>
      <t>竹影萌熊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</si>
  <si>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流星冲刺</t>
    </r>
    <phoneticPr fontId="1" type="noConversion"/>
  </si>
  <si>
    <r>
      <t>TROY-</t>
    </r>
    <r>
      <rPr>
        <sz val="11"/>
        <color theme="1"/>
        <rFont val="宋体"/>
        <family val="3"/>
        <charset val="134"/>
      </rPr>
      <t>熔炼车间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</si>
  <si>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镇山海</t>
    </r>
    <phoneticPr fontId="1" type="noConversion"/>
  </si>
  <si>
    <r>
      <rPr>
        <sz val="11"/>
        <color theme="1"/>
        <rFont val="宋体"/>
        <family val="3"/>
        <charset val="134"/>
      </rPr>
      <t>一路向黔</t>
    </r>
    <phoneticPr fontId="1" type="noConversion"/>
  </si>
  <si>
    <r>
      <rPr>
        <sz val="11"/>
        <color rgb="FFC00000"/>
        <rFont val="宋体"/>
        <family val="3"/>
        <charset val="134"/>
      </rPr>
      <t>火狱龙息</t>
    </r>
    <phoneticPr fontId="1" type="noConversion"/>
  </si>
  <si>
    <r>
      <rPr>
        <sz val="11"/>
        <color theme="1"/>
        <rFont val="宋体"/>
        <family val="3"/>
        <charset val="134"/>
      </rPr>
      <t>阿尔法总部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</si>
  <si>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r>
      <rPr>
        <sz val="11"/>
        <color theme="9" tint="-0.499984740745262"/>
        <rFont val="Times New Roman"/>
        <family val="1"/>
      </rPr>
      <t xml:space="preserve"> </t>
    </r>
    <r>
      <rPr>
        <sz val="11"/>
        <color theme="9" tint="-0.499984740745262"/>
        <rFont val="宋体"/>
        <family val="3"/>
        <charset val="134"/>
      </rPr>
      <t>魁虎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</si>
  <si>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可鲁贝洛斯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</si>
  <si>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九霄腾云</t>
    </r>
    <phoneticPr fontId="1" type="noConversion"/>
  </si>
  <si>
    <r>
      <rPr>
        <sz val="11"/>
        <color theme="1"/>
        <rFont val="宋体"/>
        <family val="3"/>
        <charset val="134"/>
      </rPr>
      <t>决战！海滨之眼</t>
    </r>
    <phoneticPr fontId="1" type="noConversion"/>
  </si>
  <si>
    <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</si>
  <si>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rPr>
        <sz val="11"/>
        <color theme="1"/>
        <rFont val="宋体"/>
        <family val="3"/>
        <charset val="134"/>
      </rPr>
      <t>天宫寻梦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</si>
  <si>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r>
      <rPr>
        <sz val="11"/>
        <color theme="5" tint="-0.499984740745262"/>
        <rFont val="Times New Roman"/>
        <family val="1"/>
      </rPr>
      <t xml:space="preserve"> </t>
    </r>
    <r>
      <rPr>
        <sz val="11"/>
        <color theme="5" tint="-0.499984740745262"/>
        <rFont val="宋体"/>
        <family val="3"/>
        <charset val="134"/>
      </rPr>
      <t>世界之蛇</t>
    </r>
    <phoneticPr fontId="1" type="noConversion"/>
  </si>
  <si>
    <r>
      <rPr>
        <sz val="11"/>
        <color theme="1"/>
        <rFont val="宋体"/>
        <family val="3"/>
        <charset val="134"/>
      </rPr>
      <t>特洛伊环城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</si>
  <si>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r>
      <rPr>
        <sz val="11"/>
        <color rgb="FF0099FF"/>
        <rFont val="Times New Roman"/>
        <family val="1"/>
      </rPr>
      <t xml:space="preserve"> </t>
    </r>
    <r>
      <rPr>
        <sz val="11"/>
        <color rgb="FF0099FF"/>
        <rFont val="宋体"/>
        <family val="3"/>
        <charset val="134"/>
      </rPr>
      <t>绯樱</t>
    </r>
    <phoneticPr fontId="1" type="noConversion"/>
  </si>
  <si>
    <r>
      <rPr>
        <sz val="11"/>
        <color theme="9"/>
        <rFont val="宋体"/>
        <family val="3"/>
        <charset val="134"/>
      </rPr>
      <t>莲梦灵蛇</t>
    </r>
    <phoneticPr fontId="1" type="noConversion"/>
  </si>
  <si>
    <r>
      <rPr>
        <sz val="11"/>
        <color rgb="FF0099FF"/>
        <rFont val="宋体"/>
        <family val="3"/>
        <charset val="134"/>
      </rPr>
      <t>凌序氮气</t>
    </r>
    <phoneticPr fontId="1" type="noConversion"/>
  </si>
  <si>
    <r>
      <rPr>
        <sz val="11"/>
        <color theme="1"/>
        <rFont val="宋体"/>
        <family val="3"/>
        <charset val="134"/>
      </rPr>
      <t>龙晶湖</t>
    </r>
    <phoneticPr fontId="1" type="noConversion"/>
  </si>
  <si>
    <r>
      <rPr>
        <sz val="11"/>
        <color theme="1"/>
        <rFont val="宋体"/>
        <family val="3"/>
        <charset val="134"/>
      </rPr>
      <t>绝色江西</t>
    </r>
    <phoneticPr fontId="1" type="noConversion"/>
  </si>
  <si>
    <r>
      <rPr>
        <sz val="11"/>
        <color theme="1"/>
        <rFont val="宋体"/>
        <family val="3"/>
        <charset val="134"/>
      </rPr>
      <t>雾山五行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</si>
  <si>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绽红莲</t>
    </r>
    <phoneticPr fontId="1" type="noConversion"/>
  </si>
  <si>
    <r>
      <rPr>
        <sz val="11"/>
        <color theme="1"/>
        <rFont val="宋体"/>
        <family val="3"/>
        <charset val="134"/>
      </rPr>
      <t>浪漫海滨</t>
    </r>
    <phoneticPr fontId="1" type="noConversion"/>
  </si>
  <si>
    <r>
      <rPr>
        <sz val="11"/>
        <color rgb="FFFF9900"/>
        <rFont val="宋体"/>
        <family val="3"/>
        <charset val="134"/>
      </rPr>
      <t>荣耀圣卫</t>
    </r>
    <phoneticPr fontId="1" type="noConversion"/>
  </si>
  <si>
    <t>四星赛道</t>
    <phoneticPr fontId="1" type="noConversion"/>
  </si>
  <si>
    <r>
      <rPr>
        <sz val="11"/>
        <color theme="1"/>
        <rFont val="宋体"/>
        <family val="3"/>
        <charset val="134"/>
      </rPr>
      <t>西湖</t>
    </r>
    <phoneticPr fontId="1" type="noConversion"/>
  </si>
  <si>
    <r>
      <rPr>
        <sz val="11"/>
        <color theme="4" tint="-0.499984740745262"/>
        <rFont val="宋体"/>
        <family val="1"/>
        <charset val="134"/>
      </rPr>
      <t>神威泰坦</t>
    </r>
    <r>
      <rPr>
        <sz val="11"/>
        <color theme="4" tint="-0.499984740745262"/>
        <rFont val="Times New Roman"/>
        <family val="1"/>
      </rPr>
      <t xml:space="preserve"> </t>
    </r>
    <r>
      <rPr>
        <sz val="11"/>
        <color theme="4" tint="-0.499984740745262"/>
        <rFont val="宋体"/>
        <family val="1"/>
        <charset val="134"/>
      </rPr>
      <t>福睦舰长</t>
    </r>
    <phoneticPr fontId="1" type="noConversion"/>
  </si>
  <si>
    <t>长城</t>
    <phoneticPr fontId="1" type="noConversion"/>
  </si>
  <si>
    <r>
      <t>1</t>
    </r>
    <r>
      <rPr>
        <sz val="11"/>
        <color theme="1"/>
        <rFont val="宋体"/>
        <family val="1"/>
        <charset val="134"/>
      </rPr>
      <t>号公路</t>
    </r>
    <phoneticPr fontId="1" type="noConversion"/>
  </si>
  <si>
    <r>
      <t>TROY-</t>
    </r>
    <r>
      <rPr>
        <sz val="11"/>
        <color theme="1"/>
        <rFont val="宋体"/>
        <family val="1"/>
        <charset val="134"/>
      </rPr>
      <t>零号试验场</t>
    </r>
    <phoneticPr fontId="1" type="noConversion"/>
  </si>
  <si>
    <t>千户苗寨</t>
    <phoneticPr fontId="1" type="noConversion"/>
  </si>
  <si>
    <t>疾风机场</t>
    <phoneticPr fontId="1" type="noConversion"/>
  </si>
  <si>
    <t>孙悟空 神魔一刹</t>
    <phoneticPr fontId="1" type="noConversion"/>
  </si>
  <si>
    <t>踏重云</t>
    <phoneticPr fontId="1" type="noConversion"/>
  </si>
  <si>
    <t>决战！雪山之巅</t>
    <phoneticPr fontId="1" type="noConversion"/>
  </si>
  <si>
    <t>梦回古蜀</t>
    <phoneticPr fontId="1" type="noConversion"/>
  </si>
  <si>
    <t>极速航天城</t>
    <phoneticPr fontId="1" type="noConversion"/>
  </si>
  <si>
    <t>神都千古恒照</t>
    <phoneticPr fontId="1" type="noConversion"/>
  </si>
  <si>
    <t>eStar.Ani</t>
    <phoneticPr fontId="1" type="noConversion"/>
  </si>
  <si>
    <t>流觞曲水</t>
    <phoneticPr fontId="1" type="noConversion"/>
  </si>
  <si>
    <t>端午竞渡</t>
    <phoneticPr fontId="1" type="noConversion"/>
  </si>
  <si>
    <t>泰坦之巅</t>
    <phoneticPr fontId="1" type="noConversion"/>
  </si>
  <si>
    <t>霆光 伏羲</t>
    <phoneticPr fontId="1" type="noConversion"/>
  </si>
  <si>
    <t>心渊</t>
    <phoneticPr fontId="1" type="noConversion"/>
  </si>
  <si>
    <t>五星赛道</t>
    <phoneticPr fontId="1" type="noConversion"/>
  </si>
  <si>
    <t>秋名山</t>
    <phoneticPr fontId="1" type="noConversion"/>
  </si>
  <si>
    <t>莫高窟</t>
    <phoneticPr fontId="1" type="noConversion"/>
  </si>
  <si>
    <t>奥莉娜 天穹战音</t>
    <phoneticPr fontId="1" type="noConversion"/>
  </si>
  <si>
    <t>幻彩灵蝶</t>
    <phoneticPr fontId="1" type="noConversion"/>
  </si>
  <si>
    <t>火力盛装</t>
    <phoneticPr fontId="1" type="noConversion"/>
  </si>
  <si>
    <t>亚特兰蒂斯</t>
    <phoneticPr fontId="1" type="noConversion"/>
  </si>
  <si>
    <t>反向亚特兰蒂斯</t>
    <phoneticPr fontId="1" type="noConversion"/>
  </si>
  <si>
    <t>老街工地</t>
    <phoneticPr fontId="1" type="noConversion"/>
  </si>
  <si>
    <t>云逍 挚爱舰长</t>
    <phoneticPr fontId="1" type="noConversion"/>
  </si>
  <si>
    <t>赤城红叶</t>
    <phoneticPr fontId="1" type="noConversion"/>
  </si>
  <si>
    <t>雪境裂渊</t>
    <phoneticPr fontId="1" type="noConversion"/>
  </si>
  <si>
    <t>火星基地</t>
    <phoneticPr fontId="1" type="noConversion"/>
  </si>
  <si>
    <t>六星赛道</t>
    <phoneticPr fontId="1" type="noConversion"/>
  </si>
  <si>
    <t>美洲大峡谷</t>
    <phoneticPr fontId="1" type="noConversion"/>
  </si>
  <si>
    <t>苏格兰场</t>
    <phoneticPr fontId="1" type="noConversion"/>
  </si>
  <si>
    <t>七星赛道</t>
    <phoneticPr fontId="1" type="noConversion"/>
  </si>
  <si>
    <t>山海画境</t>
    <phoneticPr fontId="1" type="noConversion"/>
  </si>
  <si>
    <t>极速空港</t>
    <phoneticPr fontId="1" type="noConversion"/>
  </si>
  <si>
    <r>
      <t>2026</t>
    </r>
    <r>
      <rPr>
        <sz val="11"/>
        <color theme="1"/>
        <rFont val="宋体"/>
        <family val="3"/>
        <charset val="134"/>
      </rPr>
      <t>年</t>
    </r>
    <r>
      <rPr>
        <sz val="11"/>
        <color theme="1"/>
        <rFont val="Times New Roman"/>
        <family val="1"/>
      </rPr>
      <t>QQ</t>
    </r>
    <r>
      <rPr>
        <sz val="11"/>
        <color theme="1"/>
        <rFont val="宋体"/>
        <family val="3"/>
        <charset val="134"/>
      </rPr>
      <t>飞车手游</t>
    </r>
    <r>
      <rPr>
        <sz val="11"/>
        <color theme="1"/>
        <rFont val="Times New Roman"/>
        <family val="3"/>
      </rPr>
      <t>S</t>
    </r>
    <r>
      <rPr>
        <sz val="11"/>
        <color theme="1"/>
        <rFont val="宋体"/>
        <family val="3"/>
        <charset val="134"/>
      </rPr>
      <t>联赛赛道纪录统计</t>
    </r>
    <phoneticPr fontId="1" type="noConversion"/>
  </si>
  <si>
    <t>西部矿山</t>
    <phoneticPr fontId="1" type="noConversion"/>
  </si>
  <si>
    <t>天工水城</t>
    <phoneticPr fontId="1" type="noConversion"/>
  </si>
  <si>
    <t>猫梦浮屋</t>
    <phoneticPr fontId="1" type="noConversion"/>
  </si>
  <si>
    <t>八闽山海</t>
    <phoneticPr fontId="1" type="noConversion"/>
  </si>
  <si>
    <t>云涌天门</t>
    <phoneticPr fontId="1" type="noConversion"/>
  </si>
  <si>
    <t>夜游潇湘</t>
    <phoneticPr fontId="1" type="noConversion"/>
  </si>
  <si>
    <t>踏雪寻春</t>
    <phoneticPr fontId="1" type="noConversion"/>
  </si>
  <si>
    <r>
      <rPr>
        <sz val="11"/>
        <color theme="1"/>
        <rFont val="宋体"/>
        <family val="3"/>
        <charset val="134"/>
      </rPr>
      <t>排名</t>
    </r>
    <phoneticPr fontId="1" type="noConversion"/>
  </si>
  <si>
    <r>
      <rPr>
        <sz val="11"/>
        <color theme="1"/>
        <rFont val="宋体"/>
        <family val="3"/>
        <charset val="134"/>
      </rPr>
      <t>比赛数</t>
    </r>
    <phoneticPr fontId="1" type="noConversion"/>
  </si>
  <si>
    <r>
      <rPr>
        <sz val="11"/>
        <color theme="1"/>
        <rFont val="宋体"/>
        <family val="3"/>
        <charset val="134"/>
      </rPr>
      <t>胜场数</t>
    </r>
    <phoneticPr fontId="1" type="noConversion"/>
  </si>
  <si>
    <r>
      <rPr>
        <sz val="11"/>
        <color theme="1"/>
        <rFont val="宋体"/>
        <family val="3"/>
        <charset val="134"/>
      </rPr>
      <t>胜率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</si>
  <si>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阿诺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</si>
  <si>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北风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</si>
  <si>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海神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</si>
  <si>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义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</si>
  <si>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</si>
  <si>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闽闽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</si>
  <si>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</si>
  <si>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竞速均分</t>
    </r>
    <phoneticPr fontId="1" type="noConversion"/>
  </si>
  <si>
    <r>
      <rPr>
        <sz val="11"/>
        <color theme="1"/>
        <rFont val="宋体"/>
        <family val="3"/>
        <charset val="134"/>
      </rPr>
      <t>竞速选手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</si>
  <si>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1"/>
        <rFont val="宋体"/>
        <family val="3"/>
        <charset val="134"/>
      </rPr>
      <t>局数</t>
    </r>
    <phoneticPr fontId="1" type="noConversion"/>
  </si>
  <si>
    <r>
      <rPr>
        <sz val="11"/>
        <color theme="1"/>
        <rFont val="宋体"/>
        <family val="3"/>
        <charset val="134"/>
      </rPr>
      <t>总分</t>
    </r>
    <phoneticPr fontId="1" type="noConversion"/>
  </si>
  <si>
    <r>
      <rPr>
        <sz val="11"/>
        <color theme="1"/>
        <rFont val="宋体"/>
        <family val="3"/>
        <charset val="134"/>
      </rPr>
      <t>均分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</si>
  <si>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phoneticPr fontId="1" type="noConversion"/>
  </si>
  <si>
    <r>
      <rPr>
        <sz val="11"/>
        <color theme="1"/>
        <rFont val="宋体"/>
        <family val="3"/>
        <charset val="134"/>
      </rPr>
      <t>场数</t>
    </r>
    <phoneticPr fontId="1" type="noConversion"/>
  </si>
  <si>
    <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</si>
  <si>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</si>
  <si>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</si>
  <si>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风仔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</si>
  <si>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沃克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</si>
  <si>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月上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</si>
  <si>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千寻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</si>
  <si>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晗晗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</si>
  <si>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冬瓜</t>
    </r>
    <phoneticPr fontId="1" type="noConversion"/>
  </si>
  <si>
    <r>
      <t>2v2</t>
    </r>
    <r>
      <rPr>
        <sz val="11"/>
        <color theme="1"/>
        <rFont val="宋体"/>
        <family val="3"/>
        <charset val="134"/>
      </rPr>
      <t>竞速小局冲线率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</si>
  <si>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</si>
  <si>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冲线数</t>
    </r>
    <phoneticPr fontId="1" type="noConversion"/>
  </si>
  <si>
    <r>
      <rPr>
        <sz val="11"/>
        <color theme="1"/>
        <rFont val="宋体"/>
        <family val="3"/>
        <charset val="134"/>
      </rPr>
      <t>冲线率</t>
    </r>
    <phoneticPr fontId="1" type="noConversion"/>
  </si>
  <si>
    <r>
      <rPr>
        <sz val="11"/>
        <color theme="1"/>
        <rFont val="宋体"/>
        <family val="3"/>
        <charset val="134"/>
      </rPr>
      <t>大场数</t>
    </r>
    <phoneticPr fontId="1" type="noConversion"/>
  </si>
  <si>
    <r>
      <rPr>
        <sz val="11"/>
        <color theme="1"/>
        <rFont val="宋体"/>
        <family val="3"/>
        <charset val="134"/>
      </rPr>
      <t>胜利数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</si>
  <si>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小局胜率</t>
    </r>
    <phoneticPr fontId="1" type="noConversion"/>
  </si>
  <si>
    <r>
      <rPr>
        <sz val="11"/>
        <color theme="1"/>
        <rFont val="宋体"/>
        <family val="3"/>
        <charset val="134"/>
      </rPr>
      <t>小局数</t>
    </r>
    <phoneticPr fontId="1" type="noConversion"/>
  </si>
  <si>
    <r>
      <rPr>
        <sz val="11"/>
        <color theme="1"/>
        <rFont val="宋体"/>
        <family val="3"/>
        <charset val="134"/>
      </rPr>
      <t>选手</t>
    </r>
    <r>
      <rPr>
        <sz val="11"/>
        <color theme="1"/>
        <rFont val="Times New Roman"/>
        <family val="1"/>
      </rPr>
      <t>solo</t>
    </r>
    <r>
      <rPr>
        <sz val="11"/>
        <color theme="1"/>
        <rFont val="宋体"/>
        <family val="3"/>
        <charset val="134"/>
      </rPr>
      <t>大局胜率</t>
    </r>
    <phoneticPr fontId="1" type="noConversion"/>
  </si>
  <si>
    <r>
      <rPr>
        <sz val="11"/>
        <color theme="1"/>
        <rFont val="宋体"/>
        <family val="3"/>
        <charset val="134"/>
      </rPr>
      <t>大局数</t>
    </r>
    <phoneticPr fontId="1" type="noConversion"/>
  </si>
  <si>
    <r>
      <rPr>
        <sz val="11"/>
        <color theme="1"/>
        <rFont val="宋体"/>
        <family val="3"/>
        <charset val="134"/>
      </rPr>
      <t>道具队伍小局胜率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</si>
  <si>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野鹤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</si>
  <si>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小鞠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</si>
  <si>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飒飒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</si>
  <si>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麟龙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</si>
  <si>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二嘉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</si>
  <si>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念旧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</si>
  <si>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雾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</si>
  <si>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太阳</t>
    </r>
    <phoneticPr fontId="1" type="noConversion"/>
  </si>
  <si>
    <r>
      <t>KZ.</t>
    </r>
    <r>
      <rPr>
        <sz val="11"/>
        <color rgb="FF0070C0"/>
        <rFont val="宋体"/>
        <family val="3"/>
        <charset val="134"/>
      </rPr>
      <t>梦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</si>
  <si>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伊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</si>
  <si>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小白龙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</si>
  <si>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旧言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</si>
  <si>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最</t>
    </r>
    <phoneticPr fontId="1" type="noConversion"/>
  </si>
  <si>
    <r>
      <t>Wz.</t>
    </r>
    <r>
      <rPr>
        <sz val="11"/>
        <color rgb="FFA50021"/>
        <rFont val="宋体"/>
        <family val="3"/>
        <charset val="134"/>
      </rPr>
      <t>北柠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</si>
  <si>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玄奘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</si>
  <si>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飞雪</t>
    </r>
    <phoneticPr fontId="1" type="noConversion"/>
  </si>
  <si>
    <r>
      <t>RSG.</t>
    </r>
    <r>
      <rPr>
        <sz val="11"/>
        <color theme="1"/>
        <rFont val="宋体"/>
        <family val="3"/>
        <charset val="134"/>
      </rPr>
      <t>绯鸢</t>
    </r>
    <phoneticPr fontId="1" type="noConversion"/>
  </si>
  <si>
    <r>
      <t>XROCK.</t>
    </r>
    <r>
      <rPr>
        <sz val="11"/>
        <color rgb="FF7030A0"/>
        <rFont val="宋体"/>
        <family val="3"/>
        <charset val="134"/>
      </rPr>
      <t>影子</t>
    </r>
    <phoneticPr fontId="1" type="noConversion"/>
  </si>
  <si>
    <r>
      <t>AG.</t>
    </r>
    <r>
      <rPr>
        <sz val="11"/>
        <color rgb="FFFF0000"/>
        <rFont val="宋体"/>
        <family val="3"/>
        <charset val="134"/>
      </rPr>
      <t>波波</t>
    </r>
    <phoneticPr fontId="1" type="noConversion"/>
  </si>
  <si>
    <r>
      <t>RW.</t>
    </r>
    <r>
      <rPr>
        <sz val="11"/>
        <color rgb="FFFF0000"/>
        <rFont val="宋体"/>
        <family val="3"/>
        <charset val="134"/>
      </rPr>
      <t>飞鱼</t>
    </r>
    <phoneticPr fontId="1" type="noConversion"/>
  </si>
  <si>
    <r>
      <rPr>
        <sz val="11"/>
        <color theme="1"/>
        <rFont val="宋体"/>
        <family val="3"/>
        <charset val="134"/>
      </rPr>
      <t>净胜分</t>
    </r>
    <phoneticPr fontId="1" type="noConversion"/>
  </si>
  <si>
    <r>
      <rPr>
        <sz val="11"/>
        <color theme="1"/>
        <rFont val="宋体"/>
        <family val="3"/>
        <charset val="134"/>
      </rPr>
      <t>平均</t>
    </r>
    <phoneticPr fontId="1" type="noConversion"/>
  </si>
  <si>
    <r>
      <t>QY.</t>
    </r>
    <r>
      <rPr>
        <sz val="11"/>
        <color theme="7" tint="-0.499984740745262"/>
        <rFont val="宋体"/>
        <family val="3"/>
        <charset val="134"/>
      </rPr>
      <t>路</t>
    </r>
    <phoneticPr fontId="1" type="noConversion"/>
  </si>
  <si>
    <r>
      <rPr>
        <sz val="11"/>
        <color theme="1"/>
        <rFont val="宋体"/>
        <family val="3"/>
        <charset val="134"/>
      </rPr>
      <t>道具选手</t>
    </r>
    <r>
      <rPr>
        <sz val="11"/>
        <color theme="1"/>
        <rFont val="Times New Roman"/>
        <family val="1"/>
      </rPr>
      <t>MVP</t>
    </r>
    <r>
      <rPr>
        <sz val="11"/>
        <color theme="1"/>
        <rFont val="宋体"/>
        <family val="3"/>
        <charset val="134"/>
      </rPr>
      <t>次数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</si>
  <si>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.shen</t>
    </r>
    <phoneticPr fontId="1" type="noConversion"/>
  </si>
  <si>
    <t>枢米尔</t>
    <phoneticPr fontId="1" type="noConversion"/>
  </si>
  <si>
    <t>御天龙神</t>
    <phoneticPr fontId="1" type="noConversion"/>
  </si>
  <si>
    <t>裂苍穹</t>
    <phoneticPr fontId="1" type="noConversion"/>
  </si>
  <si>
    <t>2026.01.04</t>
    <phoneticPr fontId="1" type="noConversion"/>
  </si>
  <si>
    <t>1:16.44</t>
    <phoneticPr fontId="1" type="noConversion"/>
  </si>
  <si>
    <t>2026.01.10</t>
    <phoneticPr fontId="1" type="noConversion"/>
  </si>
  <si>
    <t>1:06.27</t>
    <phoneticPr fontId="1" type="noConversion"/>
  </si>
  <si>
    <r>
      <t>KZ.</t>
    </r>
    <r>
      <rPr>
        <sz val="11"/>
        <color rgb="FF0070C0"/>
        <rFont val="宋体"/>
        <family val="1"/>
        <charset val="134"/>
      </rPr>
      <t>逆欣</t>
    </r>
    <phoneticPr fontId="1" type="noConversion"/>
  </si>
  <si>
    <t>2025.10.26</t>
    <phoneticPr fontId="1" type="noConversion"/>
  </si>
  <si>
    <t>云旌 金阙聚财</t>
    <phoneticPr fontId="1" type="noConversion"/>
  </si>
  <si>
    <t>舞风旌</t>
    <phoneticPr fontId="1" type="noConversion"/>
  </si>
  <si>
    <t>琼华仙驹</t>
    <phoneticPr fontId="1" type="noConversion"/>
  </si>
  <si>
    <t>1:13.21</t>
    <phoneticPr fontId="1" type="noConversion"/>
  </si>
  <si>
    <t>孙悟空 鸿运舰长</t>
    <phoneticPr fontId="1" type="noConversion"/>
  </si>
  <si>
    <t>2026.04.26</t>
    <phoneticPr fontId="1" type="noConversion"/>
  </si>
  <si>
    <t>1:32.21</t>
    <phoneticPr fontId="1" type="noConversion"/>
  </si>
  <si>
    <t>云旌 线条小狗</t>
    <phoneticPr fontId="1" type="noConversion"/>
  </si>
  <si>
    <t>2026.09.16</t>
    <phoneticPr fontId="1" type="noConversion"/>
  </si>
  <si>
    <t>1:25.81</t>
    <phoneticPr fontId="1" type="noConversion"/>
  </si>
  <si>
    <t>2026.04.10</t>
    <phoneticPr fontId="1" type="noConversion"/>
  </si>
  <si>
    <t>棱光 线条小狗</t>
    <phoneticPr fontId="1" type="noConversion"/>
  </si>
  <si>
    <t>破长夜</t>
    <phoneticPr fontId="1" type="noConversion"/>
  </si>
  <si>
    <t>1:13.65</t>
    <phoneticPr fontId="1" type="noConversion"/>
  </si>
  <si>
    <t>1:08.62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</si>
  <si>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风仔</t>
    </r>
    <phoneticPr fontId="1" type="noConversion"/>
  </si>
  <si>
    <t>2026.04.29</t>
    <phoneticPr fontId="1" type="noConversion"/>
  </si>
  <si>
    <t>2026.09.19</t>
    <phoneticPr fontId="1" type="noConversion"/>
  </si>
  <si>
    <t>星能小喷</t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</si>
  <si>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小钰.快手</t>
    </r>
    <phoneticPr fontId="1" type="noConversion"/>
  </si>
  <si>
    <t>1:02.92</t>
    <phoneticPr fontId="1" type="noConversion"/>
  </si>
  <si>
    <t>2025.10.12</t>
    <phoneticPr fontId="1" type="noConversion"/>
  </si>
  <si>
    <r>
      <rPr>
        <sz val="11"/>
        <color rgb="FF900870"/>
        <rFont val="Times New Roman"/>
        <family val="1"/>
      </rPr>
      <t>S-</t>
    </r>
    <r>
      <rPr>
        <sz val="11"/>
        <color rgb="FF900870"/>
        <rFont val="宋体"/>
        <family val="1"/>
        <charset val="134"/>
      </rPr>
      <t>曜翼</t>
    </r>
    <phoneticPr fontId="1" type="noConversion"/>
  </si>
  <si>
    <t>2026.09.18</t>
    <phoneticPr fontId="1" type="noConversion"/>
  </si>
  <si>
    <t>1:17.47</t>
    <phoneticPr fontId="1" type="noConversion"/>
  </si>
  <si>
    <t>2026.05.09</t>
    <phoneticPr fontId="1" type="noConversion"/>
  </si>
  <si>
    <t>1:14.48</t>
    <phoneticPr fontId="1" type="noConversion"/>
  </si>
  <si>
    <t>2026.05.15</t>
    <phoneticPr fontId="1" type="noConversion"/>
  </si>
  <si>
    <t>绽红莲</t>
    <phoneticPr fontId="1" type="noConversion"/>
  </si>
  <si>
    <t>1:01.26</t>
    <phoneticPr fontId="1" type="noConversion"/>
  </si>
  <si>
    <t>1:02.21</t>
    <phoneticPr fontId="1" type="noConversion"/>
  </si>
  <si>
    <t>2026.05.22</t>
    <phoneticPr fontId="1" type="noConversion"/>
  </si>
  <si>
    <t>1:38.81</t>
    <phoneticPr fontId="1" type="noConversion"/>
  </si>
  <si>
    <t>沧澜神凰</t>
    <phoneticPr fontId="1" type="noConversion"/>
  </si>
  <si>
    <t>1:27.19</t>
    <phoneticPr fontId="1" type="noConversion"/>
  </si>
  <si>
    <r>
      <rPr>
        <sz val="11"/>
        <color theme="7" tint="-0.249977111117893"/>
        <rFont val="宋体"/>
        <family val="1"/>
        <charset val="134"/>
      </rPr>
      <t>斯比奈鲁</t>
    </r>
    <r>
      <rPr>
        <sz val="11"/>
        <color theme="7" tint="-0.249977111117893"/>
        <rFont val="Times New Roman"/>
        <family val="1"/>
      </rPr>
      <t>·</t>
    </r>
    <r>
      <rPr>
        <sz val="11"/>
        <color theme="7" tint="-0.249977111117893"/>
        <rFont val="宋体"/>
        <family val="1"/>
        <charset val="134"/>
      </rPr>
      <t>太阳</t>
    </r>
    <phoneticPr fontId="1" type="noConversion"/>
  </si>
  <si>
    <r>
      <t>RSG.</t>
    </r>
    <r>
      <rPr>
        <sz val="11"/>
        <color theme="1"/>
        <rFont val="宋体"/>
        <family val="1"/>
        <charset val="134"/>
      </rPr>
      <t>小钰</t>
    </r>
    <phoneticPr fontId="1" type="noConversion"/>
  </si>
  <si>
    <t>1:23.27</t>
    <phoneticPr fontId="1" type="noConversion"/>
  </si>
  <si>
    <t>2026.01.08</t>
    <phoneticPr fontId="1" type="noConversion"/>
  </si>
  <si>
    <t>璃光鲸灵</t>
    <phoneticPr fontId="1" type="noConversion"/>
  </si>
  <si>
    <t>1:28.37</t>
    <phoneticPr fontId="1" type="noConversion"/>
  </si>
  <si>
    <r>
      <rPr>
        <sz val="11"/>
        <color theme="7" tint="-0.249977111117893"/>
        <rFont val="宋体"/>
        <family val="3"/>
        <charset val="134"/>
      </rPr>
      <t>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3"/>
        <charset val="134"/>
      </rPr>
      <t>阿升</t>
    </r>
    <phoneticPr fontId="1" type="noConversion"/>
  </si>
  <si>
    <t>1:11.44</t>
    <phoneticPr fontId="1" type="noConversion"/>
  </si>
  <si>
    <t>枢米尔 线条小狗</t>
    <phoneticPr fontId="1" type="noConversion"/>
  </si>
  <si>
    <t>1:22.66</t>
    <phoneticPr fontId="1" type="noConversion"/>
  </si>
  <si>
    <t>选手纪录总排行榜</t>
    <phoneticPr fontId="1" type="noConversion"/>
  </si>
  <si>
    <t>数量</t>
    <phoneticPr fontId="1" type="noConversion"/>
  </si>
  <si>
    <r>
      <rPr>
        <sz val="11"/>
        <color theme="1"/>
        <rFont val="宋体"/>
        <family val="3"/>
        <charset val="134"/>
      </rPr>
      <t>赛车记录榜</t>
    </r>
    <phoneticPr fontId="1" type="noConversion"/>
  </si>
  <si>
    <r>
      <rPr>
        <sz val="11"/>
        <color theme="1"/>
        <rFont val="宋体"/>
        <family val="3"/>
        <charset val="134"/>
      </rPr>
      <t>纪录数</t>
    </r>
    <phoneticPr fontId="1" type="noConversion"/>
  </si>
  <si>
    <r>
      <rPr>
        <sz val="11"/>
        <color theme="9" tint="-0.499984740745262"/>
        <rFont val="宋体"/>
        <family val="3"/>
        <charset val="134"/>
      </rPr>
      <t>墨影青龙</t>
    </r>
    <phoneticPr fontId="1" type="noConversion"/>
  </si>
  <si>
    <r>
      <rPr>
        <sz val="11"/>
        <color rgb="FF00B0F0"/>
        <rFont val="宋体"/>
        <family val="3"/>
        <charset val="134"/>
      </rPr>
      <t>枢米尔</t>
    </r>
    <phoneticPr fontId="1" type="noConversion"/>
  </si>
  <si>
    <r>
      <rPr>
        <sz val="11"/>
        <color theme="3" tint="-0.249977111117893"/>
        <rFont val="宋体"/>
        <family val="3"/>
        <charset val="134"/>
      </rPr>
      <t>云旌</t>
    </r>
    <phoneticPr fontId="1" type="noConversion"/>
  </si>
  <si>
    <r>
      <rPr>
        <sz val="11"/>
        <color theme="5" tint="-0.499984740745262"/>
        <rFont val="宋体"/>
        <family val="3"/>
        <charset val="134"/>
      </rPr>
      <t>魅娅</t>
    </r>
    <phoneticPr fontId="1" type="noConversion"/>
  </si>
  <si>
    <r>
      <rPr>
        <sz val="11"/>
        <color rgb="FF9999FF"/>
        <rFont val="宋体"/>
        <family val="3"/>
        <charset val="134"/>
      </rPr>
      <t>棱光</t>
    </r>
    <phoneticPr fontId="1" type="noConversion"/>
  </si>
  <si>
    <r>
      <t>S-</t>
    </r>
    <r>
      <rPr>
        <sz val="11"/>
        <color rgb="FF900870"/>
        <rFont val="宋体"/>
        <family val="3"/>
        <charset val="134"/>
      </rPr>
      <t>曜翼</t>
    </r>
    <phoneticPr fontId="1" type="noConversion"/>
  </si>
  <si>
    <r>
      <rPr>
        <sz val="11"/>
        <color rgb="FFFF00FF"/>
        <rFont val="宋体"/>
        <family val="3"/>
        <charset val="134"/>
      </rPr>
      <t>云逍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</si>
  <si>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孙悟空</t>
    </r>
    <phoneticPr fontId="1" type="noConversion"/>
  </si>
  <si>
    <r>
      <rPr>
        <sz val="11"/>
        <color rgb="FF0099FF"/>
        <rFont val="宋体"/>
        <family val="3"/>
        <charset val="134"/>
      </rPr>
      <t>序列未来</t>
    </r>
    <phoneticPr fontId="1" type="noConversion"/>
  </si>
  <si>
    <r>
      <rPr>
        <sz val="11"/>
        <color rgb="FF7030A0"/>
        <rFont val="宋体"/>
        <family val="3"/>
        <charset val="134"/>
      </rPr>
      <t>源极之星</t>
    </r>
    <phoneticPr fontId="1" type="noConversion"/>
  </si>
  <si>
    <r>
      <t>S-</t>
    </r>
    <r>
      <rPr>
        <sz val="11"/>
        <color rgb="FF33CC33"/>
        <rFont val="宋体"/>
        <family val="3"/>
        <charset val="134"/>
      </rPr>
      <t>霆光</t>
    </r>
    <phoneticPr fontId="1" type="noConversion"/>
  </si>
  <si>
    <r>
      <rPr>
        <sz val="11"/>
        <color rgb="FF009900"/>
        <rFont val="宋体"/>
        <family val="3"/>
        <charset val="134"/>
      </rPr>
      <t>奥莉娜</t>
    </r>
    <phoneticPr fontId="1" type="noConversion"/>
  </si>
  <si>
    <r>
      <rPr>
        <sz val="11"/>
        <color theme="1"/>
        <rFont val="宋体"/>
        <family val="3"/>
        <charset val="134"/>
      </rPr>
      <t>宠物排行榜</t>
    </r>
    <phoneticPr fontId="1" type="noConversion"/>
  </si>
  <si>
    <r>
      <rPr>
        <sz val="11"/>
        <color rgb="FF7030A0"/>
        <rFont val="宋体"/>
        <family val="3"/>
        <charset val="134"/>
      </rPr>
      <t>琼华仙驹</t>
    </r>
    <phoneticPr fontId="1" type="noConversion"/>
  </si>
  <si>
    <r>
      <rPr>
        <sz val="11"/>
        <color theme="4" tint="-0.499984740745262"/>
        <rFont val="宋体"/>
        <family val="3"/>
        <charset val="134"/>
      </rPr>
      <t>神威泰坦</t>
    </r>
    <phoneticPr fontId="1" type="noConversion"/>
  </si>
  <si>
    <r>
      <rPr>
        <sz val="11"/>
        <color rgb="FF33CCFF"/>
        <rFont val="宋体"/>
        <family val="3"/>
        <charset val="134"/>
      </rPr>
      <t>璃光鲸灵</t>
    </r>
    <phoneticPr fontId="1" type="noConversion"/>
  </si>
  <si>
    <r>
      <rPr>
        <sz val="11"/>
        <color rgb="FF800080"/>
        <rFont val="宋体"/>
        <family val="3"/>
        <charset val="134"/>
      </rPr>
      <t>幻彩灵蝶</t>
    </r>
    <phoneticPr fontId="1" type="noConversion"/>
  </si>
  <si>
    <r>
      <rPr>
        <sz val="11"/>
        <color rgb="FF6600CC"/>
        <rFont val="宋体"/>
        <family val="3"/>
        <charset val="134"/>
      </rPr>
      <t>沧澜神凰</t>
    </r>
    <phoneticPr fontId="1" type="noConversion"/>
  </si>
  <si>
    <r>
      <t>ECU</t>
    </r>
    <r>
      <rPr>
        <sz val="11"/>
        <color theme="1"/>
        <rFont val="宋体"/>
        <family val="3"/>
        <charset val="134"/>
      </rPr>
      <t>排行榜</t>
    </r>
    <phoneticPr fontId="1" type="noConversion"/>
  </si>
  <si>
    <r>
      <rPr>
        <sz val="11"/>
        <color theme="7" tint="-0.249977111117893"/>
        <rFont val="宋体"/>
        <family val="3"/>
        <charset val="134"/>
      </rPr>
      <t>踏重云</t>
    </r>
    <phoneticPr fontId="1" type="noConversion"/>
  </si>
  <si>
    <r>
      <rPr>
        <sz val="11"/>
        <color rgb="FF009900"/>
        <rFont val="宋体"/>
        <family val="3"/>
        <charset val="134"/>
      </rPr>
      <t>火力盛装</t>
    </r>
    <phoneticPr fontId="1" type="noConversion"/>
  </si>
  <si>
    <r>
      <rPr>
        <sz val="11"/>
        <color theme="1"/>
        <rFont val="宋体"/>
        <family val="3"/>
        <charset val="134"/>
      </rPr>
      <t>选手纪录分模式排行榜</t>
    </r>
    <phoneticPr fontId="1" type="noConversion"/>
  </si>
  <si>
    <r>
      <rPr>
        <sz val="11"/>
        <color theme="1"/>
        <rFont val="宋体"/>
        <family val="3"/>
        <charset val="134"/>
      </rPr>
      <t>模式</t>
    </r>
    <phoneticPr fontId="1" type="noConversion"/>
  </si>
  <si>
    <t>2v2</t>
    <phoneticPr fontId="1" type="noConversion"/>
  </si>
  <si>
    <t>1v1</t>
    <phoneticPr fontId="1" type="noConversion"/>
  </si>
  <si>
    <t>2v2</t>
    <phoneticPr fontId="1" type="noConversion"/>
  </si>
  <si>
    <t>1v1</t>
    <phoneticPr fontId="1" type="noConversion"/>
  </si>
  <si>
    <t>道具队伍大局胜率</t>
    <phoneticPr fontId="1" type="noConversion"/>
  </si>
  <si>
    <t>道具队伍净胜分</t>
    <phoneticPr fontId="1" type="noConversion"/>
  </si>
  <si>
    <t>计时挑战赛胜率（大局）</t>
    <phoneticPr fontId="1" type="noConversion"/>
  </si>
  <si>
    <t>道具选手小局冲线率</t>
    <phoneticPr fontId="1" type="noConversion"/>
  </si>
  <si>
    <t>冲线率</t>
    <phoneticPr fontId="1" type="noConversion"/>
  </si>
  <si>
    <t>胜率</t>
    <phoneticPr fontId="1" type="noConversion"/>
  </si>
  <si>
    <t>均分</t>
    <phoneticPr fontId="1" type="noConversion"/>
  </si>
  <si>
    <t>1:04.35</t>
    <phoneticPr fontId="1" type="noConversion"/>
  </si>
  <si>
    <t>2026.09.25</t>
    <phoneticPr fontId="1" type="noConversion"/>
  </si>
  <si>
    <t>1:28.64</t>
    <phoneticPr fontId="1" type="noConversion"/>
  </si>
  <si>
    <t>2026.09.26</t>
    <phoneticPr fontId="1" type="noConversion"/>
  </si>
  <si>
    <t>1:33.94</t>
    <phoneticPr fontId="1" type="noConversion"/>
  </si>
  <si>
    <t>荣耀天启</t>
    <phoneticPr fontId="1" type="noConversion"/>
  </si>
  <si>
    <t>跃天门</t>
    <phoneticPr fontId="1" type="noConversion"/>
  </si>
  <si>
    <r>
      <t>RW.</t>
    </r>
    <r>
      <rPr>
        <sz val="11"/>
        <color rgb="FFFF0000"/>
        <rFont val="宋体"/>
        <family val="1"/>
        <charset val="134"/>
      </rPr>
      <t>北风</t>
    </r>
    <phoneticPr fontId="1" type="noConversion"/>
  </si>
  <si>
    <t>2026.09.27</t>
    <phoneticPr fontId="1" type="noConversion"/>
  </si>
  <si>
    <t>1:17.65</t>
    <phoneticPr fontId="1" type="noConversion"/>
  </si>
  <si>
    <r>
      <rPr>
        <sz val="11"/>
        <color theme="8" tint="0.39997558519241921"/>
        <rFont val="Times New Roman"/>
        <family val="1"/>
      </rPr>
      <t>S-</t>
    </r>
    <r>
      <rPr>
        <sz val="11"/>
        <color theme="8" tint="0.39997558519241921"/>
        <rFont val="宋体"/>
        <family val="3"/>
        <charset val="134"/>
      </rPr>
      <t>溯光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</si>
  <si>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顾冷</t>
    </r>
    <phoneticPr fontId="1" type="noConversion"/>
  </si>
  <si>
    <t>棱光 关羽</t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</si>
  <si>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竞速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</si>
  <si>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r>
      <rPr>
        <sz val="11"/>
        <color theme="1"/>
        <rFont val="宋体"/>
        <family val="3"/>
        <charset val="134"/>
      </rPr>
      <t>队伍</t>
    </r>
    <r>
      <rPr>
        <sz val="11"/>
        <color theme="1"/>
        <rFont val="Times New Roman"/>
        <family val="1"/>
      </rPr>
      <t>2v2</t>
    </r>
    <r>
      <rPr>
        <sz val="11"/>
        <color theme="1"/>
        <rFont val="宋体"/>
        <family val="1"/>
        <charset val="134"/>
      </rPr>
      <t>抢七</t>
    </r>
    <r>
      <rPr>
        <sz val="11"/>
        <color theme="1"/>
        <rFont val="宋体"/>
        <family val="3"/>
        <charset val="134"/>
      </rPr>
      <t>大场胜率</t>
    </r>
    <phoneticPr fontId="1" type="noConversion"/>
  </si>
  <si>
    <t>一号位选手抢七小局胜率</t>
    <phoneticPr fontId="1" type="noConversion"/>
  </si>
  <si>
    <t>二号位选手抢七小局胜率</t>
    <phoneticPr fontId="1" type="noConversion"/>
  </si>
  <si>
    <t>二号位选手抢七一阶段优胜率</t>
    <phoneticPr fontId="1" type="noConversion"/>
  </si>
  <si>
    <r>
      <rPr>
        <sz val="11"/>
        <color theme="7" tint="-0.249977111117893"/>
        <rFont val="宋体"/>
        <family val="3"/>
        <charset val="134"/>
      </rPr>
      <t>广州狼队</t>
    </r>
    <r>
      <rPr>
        <sz val="11"/>
        <color theme="7" tint="-0.249977111117893"/>
        <rFont val="Times New Roman"/>
        <family val="1"/>
      </rPr>
      <t>.</t>
    </r>
    <r>
      <rPr>
        <sz val="11"/>
        <color theme="7" tint="-0.249977111117893"/>
        <rFont val="宋体"/>
        <family val="1"/>
        <charset val="134"/>
      </rPr>
      <t>阿升</t>
    </r>
    <phoneticPr fontId="1" type="noConversion"/>
  </si>
  <si>
    <r>
      <t>XROCK.</t>
    </r>
    <r>
      <rPr>
        <sz val="11"/>
        <color rgb="FF7030A0"/>
        <rFont val="宋体"/>
        <family val="1"/>
        <charset val="134"/>
      </rPr>
      <t>义</t>
    </r>
    <phoneticPr fontId="1" type="noConversion"/>
  </si>
  <si>
    <r>
      <t>QY.</t>
    </r>
    <r>
      <rPr>
        <sz val="11"/>
        <color theme="7" tint="-0.499984740745262"/>
        <rFont val="宋体"/>
        <family val="1"/>
        <charset val="134"/>
      </rPr>
      <t>闽闽</t>
    </r>
    <phoneticPr fontId="1" type="noConversion"/>
  </si>
  <si>
    <r>
      <t>Wz.</t>
    </r>
    <r>
      <rPr>
        <sz val="11"/>
        <color rgb="FFA50021"/>
        <rFont val="宋体"/>
        <family val="1"/>
        <charset val="134"/>
      </rPr>
      <t>阿诺</t>
    </r>
    <phoneticPr fontId="1" type="noConversion"/>
  </si>
  <si>
    <t>KZ.狮子</t>
  </si>
  <si>
    <t>KZ.YanG</t>
  </si>
  <si>
    <t>KZ</t>
  </si>
  <si>
    <t>2026.10.01</t>
    <phoneticPr fontId="1" type="noConversion"/>
  </si>
  <si>
    <t>抢七劣势局翻盘频率</t>
    <phoneticPr fontId="1" type="noConversion"/>
  </si>
  <si>
    <t>抢七优势局胜利频率</t>
    <phoneticPr fontId="1" type="noConversion"/>
  </si>
  <si>
    <t>优势数</t>
    <phoneticPr fontId="1" type="noConversion"/>
  </si>
  <si>
    <t>成功数</t>
    <phoneticPr fontId="1" type="noConversion"/>
  </si>
  <si>
    <t>劣势数</t>
    <phoneticPr fontId="1" type="noConversion"/>
  </si>
  <si>
    <t>翻盘数</t>
    <phoneticPr fontId="1" type="noConversion"/>
  </si>
  <si>
    <t>1:37.94</t>
    <phoneticPr fontId="1" type="noConversion"/>
  </si>
  <si>
    <t>1:20.25</t>
    <phoneticPr fontId="1" type="noConversion"/>
  </si>
  <si>
    <t>2026.10.02</t>
    <phoneticPr fontId="1" type="noConversion"/>
  </si>
  <si>
    <t>1:25.43</t>
    <phoneticPr fontId="1" type="noConversion"/>
  </si>
  <si>
    <t>1:02.47</t>
    <phoneticPr fontId="1" type="noConversion"/>
  </si>
  <si>
    <t>1:26.51</t>
    <phoneticPr fontId="1" type="noConversion"/>
  </si>
  <si>
    <t>1:08.69</t>
    <phoneticPr fontId="1" type="noConversion"/>
  </si>
  <si>
    <t>1:28.10</t>
    <phoneticPr fontId="1" type="noConversion"/>
  </si>
  <si>
    <t>2026.10.03</t>
    <phoneticPr fontId="1" type="noConversion"/>
  </si>
  <si>
    <t>0:56.97</t>
    <phoneticPr fontId="1" type="noConversion"/>
  </si>
  <si>
    <t>2026.10.04</t>
    <phoneticPr fontId="1" type="noConversion"/>
  </si>
  <si>
    <t>1FMVP</t>
    <phoneticPr fontId="1" type="noConversion"/>
  </si>
  <si>
    <t>1:16.97</t>
    <phoneticPr fontId="1" type="noConversion"/>
  </si>
  <si>
    <t>云旌 御曜</t>
    <phoneticPr fontId="1" type="noConversion"/>
  </si>
  <si>
    <t>2026.10.07</t>
    <phoneticPr fontId="1" type="noConversion"/>
  </si>
  <si>
    <t>1:28.97</t>
    <phoneticPr fontId="1" type="noConversion"/>
  </si>
  <si>
    <t>2026.10.08</t>
    <phoneticPr fontId="1" type="noConversion"/>
  </si>
  <si>
    <t>1:24.62</t>
    <phoneticPr fontId="1" type="noConversion"/>
  </si>
  <si>
    <t>1:09.24</t>
    <phoneticPr fontId="1" type="noConversion"/>
  </si>
  <si>
    <t>1:08.66</t>
    <phoneticPr fontId="1" type="noConversion"/>
  </si>
  <si>
    <t>2026.10.09</t>
    <phoneticPr fontId="1" type="noConversion"/>
  </si>
  <si>
    <t>1:24.11</t>
    <phoneticPr fontId="1" type="noConversion"/>
  </si>
  <si>
    <t>1:11.19</t>
    <phoneticPr fontId="1" type="noConversion"/>
  </si>
  <si>
    <t>1:15.61</t>
    <phoneticPr fontId="1" type="noConversion"/>
  </si>
  <si>
    <t>2026.10.10</t>
    <phoneticPr fontId="1" type="noConversion"/>
  </si>
  <si>
    <t>1:22.18</t>
    <phoneticPr fontId="1" type="noConversion"/>
  </si>
  <si>
    <t>2026.10.11</t>
    <phoneticPr fontId="1" type="noConversion"/>
  </si>
  <si>
    <t>1:06.53</t>
    <phoneticPr fontId="1" type="noConversion"/>
  </si>
  <si>
    <t>2026.10.15</t>
    <phoneticPr fontId="1" type="noConversion"/>
  </si>
  <si>
    <t>1:42.97</t>
    <phoneticPr fontId="1" type="noConversion"/>
  </si>
  <si>
    <r>
      <rPr>
        <sz val="11"/>
        <color theme="1"/>
        <rFont val="宋体"/>
        <family val="3"/>
        <charset val="134"/>
      </rPr>
      <t>截至</t>
    </r>
    <r>
      <rPr>
        <sz val="11"/>
        <color theme="1"/>
        <rFont val="Times New Roman"/>
        <family val="1"/>
      </rPr>
      <t>2026.10.17</t>
    </r>
    <r>
      <rPr>
        <sz val="11"/>
        <color theme="1"/>
        <rFont val="宋体"/>
        <family val="1"/>
        <charset val="134"/>
      </rPr>
      <t>比赛结束</t>
    </r>
    <phoneticPr fontId="1" type="noConversion"/>
  </si>
  <si>
    <t>截至2026.10.17比赛结束</t>
  </si>
  <si>
    <t>1:09.28</t>
    <phoneticPr fontId="1" type="noConversion"/>
  </si>
  <si>
    <t>2026.10.17</t>
    <phoneticPr fontId="1" type="noConversion"/>
  </si>
  <si>
    <t>1:27.27</t>
    <phoneticPr fontId="1" type="noConversion"/>
  </si>
  <si>
    <t>2v2(28)</t>
    <phoneticPr fontId="1" type="noConversion"/>
  </si>
  <si>
    <t>1v1(17)</t>
    <phoneticPr fontId="1" type="noConversion"/>
  </si>
  <si>
    <t>1:29.18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</si>
</sst>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7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rgb="FF00B0F0"/>
      <name val="Times New Roman"/>
      <family val="1"/>
    </font>
    <font>
      <sz val="11"/>
      <color rgb="FF00B0F0"/>
      <name val="宋体"/>
      <family val="3"/>
      <charset val="134"/>
    </font>
    <font>
      <sz val="11"/>
      <color rgb="FF7030A0"/>
      <name val="Times New Roman"/>
      <family val="1"/>
    </font>
    <font>
      <sz val="11"/>
      <color rgb="FF7030A0"/>
      <name val="宋体"/>
      <family val="3"/>
      <charset val="134"/>
    </font>
    <font>
      <sz val="11"/>
      <color rgb="FF00B050"/>
      <name val="Times New Roman"/>
      <family val="1"/>
    </font>
    <font>
      <sz val="11"/>
      <color rgb="FF00B050"/>
      <name val="宋体"/>
      <family val="3"/>
      <charset val="134"/>
    </font>
    <font>
      <sz val="11"/>
      <color theme="7" tint="-0.249977111117893"/>
      <name val="Times New Roman"/>
      <family val="1"/>
    </font>
    <font>
      <sz val="11"/>
      <color theme="7" tint="-0.249977111117893"/>
      <name val="宋体"/>
      <family val="3"/>
      <charset val="134"/>
    </font>
    <font>
      <sz val="11"/>
      <color theme="4" tint="-0.499984740745262"/>
      <name val="Times New Roman"/>
      <family val="1"/>
    </font>
    <font>
      <sz val="11"/>
      <color theme="4" tint="-0.499984740745262"/>
      <name val="宋体"/>
      <family val="3"/>
      <charset val="134"/>
    </font>
    <font>
      <sz val="11"/>
      <color rgb="FFC00000"/>
      <name val="Times New Roman"/>
      <family val="1"/>
    </font>
    <font>
      <sz val="11"/>
      <color rgb="FFC00000"/>
      <name val="宋体"/>
      <family val="3"/>
      <charset val="134"/>
    </font>
    <font>
      <sz val="11"/>
      <color rgb="FFFF0000"/>
      <name val="Times New Roman"/>
      <family val="1"/>
    </font>
    <font>
      <sz val="11"/>
      <color theme="9" tint="-0.499984740745262"/>
      <name val="Times New Roman"/>
      <family val="1"/>
    </font>
    <font>
      <sz val="11"/>
      <color theme="9" tint="-0.499984740745262"/>
      <name val="宋体"/>
      <family val="3"/>
      <charset val="134"/>
    </font>
    <font>
      <sz val="11"/>
      <color rgb="FFFF00FF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8" tint="0.39997558519241921"/>
      <name val="宋体"/>
      <family val="3"/>
      <charset val="134"/>
    </font>
    <font>
      <sz val="11"/>
      <color theme="5" tint="-0.499984740745262"/>
      <name val="Times New Roman"/>
      <family val="3"/>
      <charset val="134"/>
    </font>
    <font>
      <sz val="11"/>
      <color theme="5" tint="-0.499984740745262"/>
      <name val="宋体"/>
      <family val="3"/>
      <charset val="134"/>
    </font>
    <font>
      <sz val="11"/>
      <color theme="5" tint="-0.499984740745262"/>
      <name val="Times New Roman"/>
      <family val="1"/>
    </font>
    <font>
      <sz val="11"/>
      <color rgb="FF0099FF"/>
      <name val="Times New Roman"/>
      <family val="1"/>
    </font>
    <font>
      <sz val="11"/>
      <color rgb="FF0099FF"/>
      <name val="宋体"/>
      <family val="3"/>
      <charset val="134"/>
    </font>
    <font>
      <sz val="11"/>
      <color theme="9"/>
      <name val="Times New Roman"/>
      <family val="1"/>
    </font>
    <font>
      <sz val="11"/>
      <color theme="9"/>
      <name val="宋体"/>
      <family val="3"/>
      <charset val="134"/>
    </font>
    <font>
      <sz val="11"/>
      <color rgb="FFFF9900"/>
      <name val="Times New Roman"/>
      <family val="1"/>
    </font>
    <font>
      <sz val="11"/>
      <color rgb="FFFF99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A50021"/>
      <name val="Times New Roman"/>
      <family val="1"/>
    </font>
    <font>
      <sz val="11"/>
      <color theme="4" tint="-0.499984740745262"/>
      <name val="Times New Roman"/>
      <family val="1"/>
      <charset val="134"/>
    </font>
    <font>
      <sz val="11"/>
      <color theme="4" tint="-0.499984740745262"/>
      <name val="宋体"/>
      <family val="1"/>
      <charset val="134"/>
    </font>
    <font>
      <sz val="11"/>
      <color rgb="FF33CC33"/>
      <name val="宋体"/>
      <family val="3"/>
      <charset val="134"/>
    </font>
    <font>
      <sz val="11"/>
      <color rgb="FFFF00FF"/>
      <name val="宋体"/>
      <family val="3"/>
      <charset val="134"/>
    </font>
    <font>
      <sz val="11"/>
      <color rgb="FF009900"/>
      <name val="宋体"/>
      <family val="3"/>
      <charset val="134"/>
    </font>
    <font>
      <sz val="11"/>
      <color rgb="FF800080"/>
      <name val="宋体"/>
      <family val="3"/>
      <charset val="134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sz val="11"/>
      <color rgb="FFA5002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0070C0"/>
      <name val="宋体"/>
      <family val="3"/>
      <charset val="134"/>
    </font>
    <font>
      <sz val="11"/>
      <color theme="7" tint="-0.499984740745262"/>
      <name val="宋体"/>
      <family val="3"/>
      <charset val="134"/>
    </font>
    <font>
      <sz val="11"/>
      <color rgb="FF0070C0"/>
      <name val="Times New Roman"/>
      <family val="1"/>
    </font>
    <font>
      <sz val="11"/>
      <color theme="7" tint="-0.499984740745262"/>
      <name val="Times New Roman"/>
      <family val="1"/>
    </font>
    <font>
      <sz val="11"/>
      <color theme="7" tint="-0.249977111117893"/>
      <name val="Times New Roman"/>
      <family val="3"/>
      <charset val="134"/>
    </font>
    <font>
      <sz val="11"/>
      <color rgb="FF00B0F0"/>
      <name val="宋体"/>
      <family val="1"/>
      <charset val="134"/>
    </font>
    <font>
      <sz val="11"/>
      <color rgb="FF0070C0"/>
      <name val="宋体"/>
      <family val="1"/>
      <charset val="134"/>
    </font>
    <font>
      <sz val="11"/>
      <color theme="3" tint="-0.249977111117893"/>
      <name val="宋体"/>
      <family val="3"/>
      <charset val="134"/>
    </font>
    <font>
      <sz val="11"/>
      <color theme="5" tint="-0.499984740745262"/>
      <name val="宋体"/>
      <family val="1"/>
      <charset val="134"/>
    </font>
    <font>
      <sz val="11"/>
      <color rgb="FF9999FF"/>
      <name val="宋体"/>
      <family val="3"/>
      <charset val="134"/>
    </font>
    <font>
      <sz val="11"/>
      <color theme="7" tint="-0.249977111117893"/>
      <name val="宋体"/>
      <family val="1"/>
      <charset val="134"/>
    </font>
    <font>
      <sz val="11"/>
      <color rgb="FFFF0000"/>
      <name val="宋体"/>
      <family val="1"/>
      <charset val="134"/>
    </font>
    <font>
      <sz val="11"/>
      <color theme="3" tint="-0.249977111117893"/>
      <name val="Times New Roman"/>
      <family val="1"/>
    </font>
    <font>
      <sz val="11"/>
      <color rgb="FF900870"/>
      <name val="Times New Roman"/>
      <family val="1"/>
    </font>
    <font>
      <sz val="11"/>
      <color rgb="FF900870"/>
      <name val="宋体"/>
      <family val="1"/>
      <charset val="134"/>
    </font>
    <font>
      <sz val="11"/>
      <color rgb="FF6600CC"/>
      <name val="宋体"/>
      <family val="3"/>
      <charset val="134"/>
    </font>
    <font>
      <sz val="11"/>
      <color theme="7" tint="-0.249977111117893"/>
      <name val="Times New Roman"/>
      <family val="1"/>
      <charset val="134"/>
    </font>
    <font>
      <sz val="11"/>
      <color rgb="FF33CCFF"/>
      <name val="宋体"/>
      <family val="3"/>
      <charset val="134"/>
    </font>
    <font>
      <sz val="11"/>
      <color rgb="FF900870"/>
      <name val="宋体"/>
      <family val="3"/>
      <charset val="134"/>
    </font>
    <font>
      <sz val="11"/>
      <color rgb="FF9999FF"/>
      <name val="Times New Roman"/>
      <family val="1"/>
    </font>
    <font>
      <sz val="11"/>
      <color rgb="FF33CC33"/>
      <name val="Times New Roman"/>
      <family val="1"/>
    </font>
    <font>
      <sz val="11"/>
      <color rgb="FF009900"/>
      <name val="Times New Roman"/>
      <family val="1"/>
    </font>
    <font>
      <sz val="11"/>
      <color rgb="FF33CCFF"/>
      <name val="Times New Roman"/>
      <family val="1"/>
    </font>
    <font>
      <sz val="11"/>
      <color rgb="FF800080"/>
      <name val="Times New Roman"/>
      <family val="1"/>
    </font>
    <font>
      <sz val="11"/>
      <color rgb="FF6600CC"/>
      <name val="Times New Roman"/>
      <family val="1"/>
    </font>
    <font>
      <sz val="11"/>
      <color theme="8" tint="0.39997558519241921"/>
      <name val="宋体"/>
      <family val="1"/>
      <charset val="134"/>
    </font>
    <font>
      <sz val="11"/>
      <color rgb="FFA50021"/>
      <name val="宋体"/>
      <family val="1"/>
      <charset val="134"/>
    </font>
    <font>
      <sz val="11"/>
      <color rgb="FF7030A0"/>
      <name val="宋体"/>
      <family val="1"/>
      <charset val="134"/>
    </font>
    <font>
      <sz val="11"/>
      <color theme="7" tint="-0.499984740745262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2" fillId="0" borderId="0" xfId="0" applyFont="1"/>
    <xf numFmtId="0" fontId="3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0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0" fillId="0" borderId="1" xfId="0" applyFont="1" applyBorder="1" applyAlignment="1">
      <alignment horizontal="center"/>
    </xf>
    <xf numFmtId="49" fontId="31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177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1" fillId="0" borderId="5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3CCFF"/>
      <color rgb="FF6600CC"/>
      <color rgb="FF900870"/>
      <color rgb="FF9999FF"/>
      <color rgb="FFFF00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topLeftCell="A42" zoomScale="150" zoomScaleNormal="150" workbookViewId="0">
      <selection activeCell="M54" sqref="M54"/>
    </sheetView>
  </sheetViews>
  <sheetFormatPr defaultRowHeight="14" x14ac:dyDescent="0.3"/>
  <cols>
    <col min="1" max="1" width="6.6640625" customWidth="1"/>
    <col min="2" max="2" width="12.58203125" customWidth="1"/>
    <col min="5" max="5" width="10.6640625" bestFit="1" customWidth="1"/>
    <col min="8" max="8" width="12.08203125" customWidth="1"/>
    <col min="14" max="14" width="12.25" customWidth="1"/>
  </cols>
  <sheetData>
    <row r="1" spans="1:17" x14ac:dyDescent="0.3">
      <c r="A1" s="91" t="s">
        <v>251</v>
      </c>
      <c r="B1" s="81"/>
      <c r="C1" s="81"/>
      <c r="D1" s="81"/>
      <c r="E1" s="8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7" x14ac:dyDescent="0.3">
      <c r="A2" s="92" t="s">
        <v>319</v>
      </c>
      <c r="B2" s="90"/>
      <c r="C2" s="90"/>
      <c r="D2" s="90"/>
      <c r="E2" s="80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7" x14ac:dyDescent="0.3">
      <c r="A3" s="2" t="s">
        <v>101</v>
      </c>
      <c r="B3" s="2" t="s">
        <v>19</v>
      </c>
      <c r="C3" s="2" t="s">
        <v>102</v>
      </c>
      <c r="D3" s="2" t="s">
        <v>103</v>
      </c>
      <c r="E3" s="2" t="s">
        <v>104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17" x14ac:dyDescent="0.3">
      <c r="A4" s="2">
        <v>1</v>
      </c>
      <c r="B4" s="28" t="s">
        <v>106</v>
      </c>
      <c r="C4" s="2">
        <v>16</v>
      </c>
      <c r="D4" s="2">
        <v>14</v>
      </c>
      <c r="E4" s="27">
        <f t="shared" ref="E4:E13" si="0">D4/C4*100%</f>
        <v>0.875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7" x14ac:dyDescent="0.3">
      <c r="A5" s="2">
        <v>2</v>
      </c>
      <c r="B5" s="26" t="s">
        <v>105</v>
      </c>
      <c r="C5" s="2">
        <v>14</v>
      </c>
      <c r="D5" s="2">
        <v>9</v>
      </c>
      <c r="E5" s="27">
        <f t="shared" si="0"/>
        <v>0.6428571428571429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7" x14ac:dyDescent="0.3">
      <c r="A6" s="2">
        <v>3</v>
      </c>
      <c r="B6" s="29" t="s">
        <v>108</v>
      </c>
      <c r="C6" s="2">
        <v>15</v>
      </c>
      <c r="D6" s="2">
        <v>8</v>
      </c>
      <c r="E6" s="27">
        <f t="shared" si="0"/>
        <v>0.53333333333333333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7" x14ac:dyDescent="0.3">
      <c r="A7" s="2">
        <v>5</v>
      </c>
      <c r="B7" s="30" t="s">
        <v>109</v>
      </c>
      <c r="C7" s="2">
        <v>16</v>
      </c>
      <c r="D7" s="2">
        <v>8</v>
      </c>
      <c r="E7" s="27">
        <f t="shared" si="0"/>
        <v>0.5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7" x14ac:dyDescent="0.3">
      <c r="A8" s="2">
        <v>4</v>
      </c>
      <c r="B8" s="2" t="s">
        <v>107</v>
      </c>
      <c r="C8" s="2">
        <v>12</v>
      </c>
      <c r="D8" s="2">
        <v>5</v>
      </c>
      <c r="E8" s="27">
        <f t="shared" si="0"/>
        <v>0.41666666666666669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7" x14ac:dyDescent="0.3">
      <c r="A9" s="2">
        <v>6</v>
      </c>
      <c r="B9" s="31" t="s">
        <v>278</v>
      </c>
      <c r="C9" s="2">
        <v>15</v>
      </c>
      <c r="D9" s="2">
        <v>6</v>
      </c>
      <c r="E9" s="27">
        <f t="shared" si="0"/>
        <v>0.4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7" x14ac:dyDescent="0.3">
      <c r="A10" s="2">
        <v>8</v>
      </c>
      <c r="B10" s="32" t="s">
        <v>110</v>
      </c>
      <c r="C10" s="2">
        <v>15</v>
      </c>
      <c r="D10" s="2">
        <v>6</v>
      </c>
      <c r="E10" s="27">
        <f t="shared" si="0"/>
        <v>0.4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7" x14ac:dyDescent="0.3">
      <c r="A11" s="2">
        <v>7</v>
      </c>
      <c r="B11" s="2" t="s">
        <v>126</v>
      </c>
      <c r="C11" s="2">
        <v>3</v>
      </c>
      <c r="D11" s="2">
        <v>1</v>
      </c>
      <c r="E11" s="27">
        <f t="shared" si="0"/>
        <v>0.33333333333333331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</row>
    <row r="12" spans="1:17" x14ac:dyDescent="0.3">
      <c r="A12" s="2">
        <v>9</v>
      </c>
      <c r="B12" s="28" t="s">
        <v>2</v>
      </c>
      <c r="C12" s="2">
        <v>12</v>
      </c>
      <c r="D12" s="2">
        <v>3</v>
      </c>
      <c r="E12" s="27">
        <f t="shared" si="0"/>
        <v>0.25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7" x14ac:dyDescent="0.3">
      <c r="A13" s="2">
        <v>10</v>
      </c>
      <c r="B13" s="28" t="s">
        <v>127</v>
      </c>
      <c r="C13" s="2">
        <v>2</v>
      </c>
      <c r="D13" s="2">
        <v>0</v>
      </c>
      <c r="E13" s="27">
        <f t="shared" si="0"/>
        <v>0</v>
      </c>
      <c r="F13" s="25"/>
      <c r="G13" s="81" t="s">
        <v>112</v>
      </c>
      <c r="H13" s="81"/>
      <c r="I13" s="81"/>
      <c r="J13" s="81"/>
      <c r="K13" s="81"/>
      <c r="L13" s="25"/>
      <c r="M13" s="89" t="s">
        <v>113</v>
      </c>
      <c r="N13" s="81"/>
      <c r="O13" s="81"/>
      <c r="P13" s="81"/>
    </row>
    <row r="14" spans="1:17" x14ac:dyDescent="0.3">
      <c r="A14" s="79" t="s">
        <v>111</v>
      </c>
      <c r="B14" s="90"/>
      <c r="C14" s="90"/>
      <c r="D14" s="90"/>
      <c r="E14" s="80"/>
      <c r="F14" s="25"/>
      <c r="G14" s="81" t="s">
        <v>319</v>
      </c>
      <c r="H14" s="81"/>
      <c r="I14" s="81"/>
      <c r="J14" s="81"/>
      <c r="K14" s="81"/>
      <c r="L14" s="25"/>
      <c r="M14" s="79" t="s">
        <v>319</v>
      </c>
      <c r="N14" s="90"/>
      <c r="O14" s="90"/>
      <c r="P14" s="80"/>
    </row>
    <row r="15" spans="1:17" x14ac:dyDescent="0.3">
      <c r="A15" s="90" t="s">
        <v>319</v>
      </c>
      <c r="B15" s="90"/>
      <c r="C15" s="90"/>
      <c r="D15" s="90"/>
      <c r="E15" s="80"/>
      <c r="F15" s="25"/>
      <c r="G15" s="2" t="s">
        <v>101</v>
      </c>
      <c r="H15" s="2" t="s">
        <v>117</v>
      </c>
      <c r="I15" s="2" t="s">
        <v>114</v>
      </c>
      <c r="J15" s="2" t="s">
        <v>115</v>
      </c>
      <c r="K15" s="2" t="s">
        <v>116</v>
      </c>
      <c r="L15" s="25"/>
      <c r="M15" s="2" t="s">
        <v>101</v>
      </c>
      <c r="N15" s="2" t="s">
        <v>19</v>
      </c>
      <c r="O15" s="2" t="s">
        <v>118</v>
      </c>
      <c r="P15" s="2" t="s">
        <v>119</v>
      </c>
    </row>
    <row r="16" spans="1:17" x14ac:dyDescent="0.3">
      <c r="A16" s="2" t="s">
        <v>101</v>
      </c>
      <c r="B16" s="2" t="s">
        <v>19</v>
      </c>
      <c r="C16" s="2" t="s">
        <v>114</v>
      </c>
      <c r="D16" s="2" t="s">
        <v>115</v>
      </c>
      <c r="E16" s="69" t="s">
        <v>255</v>
      </c>
      <c r="F16" s="25"/>
      <c r="G16" s="2">
        <v>1</v>
      </c>
      <c r="H16" s="30" t="s">
        <v>121</v>
      </c>
      <c r="I16" s="2">
        <v>128</v>
      </c>
      <c r="J16" s="2">
        <v>2493</v>
      </c>
      <c r="K16" s="33">
        <f t="shared" ref="K16:K23" si="1">J16/I16</f>
        <v>19.4765625</v>
      </c>
      <c r="L16" s="25"/>
      <c r="M16" s="2">
        <v>1</v>
      </c>
      <c r="N16" s="30" t="s">
        <v>120</v>
      </c>
      <c r="O16" s="2">
        <v>19</v>
      </c>
      <c r="P16" s="2">
        <v>15</v>
      </c>
      <c r="Q16" s="78" t="s">
        <v>299</v>
      </c>
    </row>
    <row r="17" spans="1:17" x14ac:dyDescent="0.3">
      <c r="A17" s="2">
        <v>1</v>
      </c>
      <c r="B17" s="30" t="s">
        <v>120</v>
      </c>
      <c r="C17" s="2">
        <v>128</v>
      </c>
      <c r="D17" s="2">
        <v>1306</v>
      </c>
      <c r="E17" s="77">
        <f t="shared" ref="E17:E35" si="2">D17/C17</f>
        <v>10.203125</v>
      </c>
      <c r="F17" s="25"/>
      <c r="G17" s="2">
        <v>2</v>
      </c>
      <c r="H17" s="2" t="s">
        <v>8</v>
      </c>
      <c r="I17" s="2">
        <v>121</v>
      </c>
      <c r="J17" s="2">
        <v>2337</v>
      </c>
      <c r="K17" s="33">
        <f t="shared" si="1"/>
        <v>19.314049586776861</v>
      </c>
      <c r="L17" s="25"/>
      <c r="M17" s="2">
        <v>2</v>
      </c>
      <c r="N17" s="2" t="s">
        <v>122</v>
      </c>
      <c r="O17" s="2">
        <v>16</v>
      </c>
      <c r="P17" s="2">
        <v>9</v>
      </c>
    </row>
    <row r="18" spans="1:17" x14ac:dyDescent="0.3">
      <c r="A18" s="2">
        <v>2</v>
      </c>
      <c r="B18" s="2" t="s">
        <v>122</v>
      </c>
      <c r="C18" s="2">
        <v>121</v>
      </c>
      <c r="D18" s="2">
        <v>1200</v>
      </c>
      <c r="E18" s="77">
        <f t="shared" si="2"/>
        <v>9.9173553719008272</v>
      </c>
      <c r="F18" s="25"/>
      <c r="G18" s="2">
        <v>3</v>
      </c>
      <c r="H18" s="28" t="s">
        <v>6</v>
      </c>
      <c r="I18" s="2">
        <v>130</v>
      </c>
      <c r="J18" s="2">
        <v>2508</v>
      </c>
      <c r="K18" s="33">
        <f t="shared" si="1"/>
        <v>19.292307692307691</v>
      </c>
      <c r="L18" s="25"/>
      <c r="M18" s="2">
        <v>3</v>
      </c>
      <c r="N18" s="28" t="s">
        <v>106</v>
      </c>
      <c r="O18" s="2">
        <v>19</v>
      </c>
      <c r="P18" s="2">
        <v>7</v>
      </c>
    </row>
    <row r="19" spans="1:17" x14ac:dyDescent="0.3">
      <c r="A19" s="2">
        <v>3</v>
      </c>
      <c r="B19" s="31" t="s">
        <v>279</v>
      </c>
      <c r="C19" s="2">
        <v>127</v>
      </c>
      <c r="D19" s="2">
        <v>1252</v>
      </c>
      <c r="E19" s="77">
        <f t="shared" si="2"/>
        <v>9.8582677165354333</v>
      </c>
      <c r="F19" s="25"/>
      <c r="G19" s="2">
        <v>4</v>
      </c>
      <c r="H19" s="31" t="s">
        <v>280</v>
      </c>
      <c r="I19" s="2">
        <v>127</v>
      </c>
      <c r="J19" s="2">
        <v>2434</v>
      </c>
      <c r="K19" s="33">
        <f t="shared" si="1"/>
        <v>19.165354330708663</v>
      </c>
      <c r="L19" s="25"/>
      <c r="M19" s="2">
        <v>4</v>
      </c>
      <c r="N19" s="31" t="s">
        <v>279</v>
      </c>
      <c r="O19" s="2">
        <v>17</v>
      </c>
      <c r="P19" s="2">
        <v>7</v>
      </c>
    </row>
    <row r="20" spans="1:17" x14ac:dyDescent="0.3">
      <c r="A20" s="2">
        <v>4</v>
      </c>
      <c r="B20" s="28" t="s">
        <v>123</v>
      </c>
      <c r="C20" s="2">
        <v>130</v>
      </c>
      <c r="D20" s="2">
        <v>1274</v>
      </c>
      <c r="E20" s="77">
        <f t="shared" si="2"/>
        <v>9.8000000000000007</v>
      </c>
      <c r="F20" s="25"/>
      <c r="G20" s="2">
        <v>5</v>
      </c>
      <c r="H20" s="32" t="s">
        <v>10</v>
      </c>
      <c r="I20" s="2">
        <v>121</v>
      </c>
      <c r="J20" s="2">
        <v>2298</v>
      </c>
      <c r="K20" s="33">
        <f t="shared" si="1"/>
        <v>18.991735537190081</v>
      </c>
      <c r="L20" s="25"/>
      <c r="M20" s="2">
        <v>5</v>
      </c>
      <c r="N20" s="28" t="s">
        <v>123</v>
      </c>
      <c r="O20" s="2">
        <v>19</v>
      </c>
      <c r="P20" s="2">
        <v>6</v>
      </c>
    </row>
    <row r="21" spans="1:17" x14ac:dyDescent="0.3">
      <c r="A21" s="2">
        <v>5</v>
      </c>
      <c r="B21" s="32" t="s">
        <v>125</v>
      </c>
      <c r="C21" s="2">
        <v>121</v>
      </c>
      <c r="D21" s="2">
        <v>1182</v>
      </c>
      <c r="E21" s="77">
        <f t="shared" si="2"/>
        <v>9.7685950413223139</v>
      </c>
      <c r="F21" s="25"/>
      <c r="G21" s="2">
        <v>6</v>
      </c>
      <c r="H21" s="29" t="s">
        <v>7</v>
      </c>
      <c r="I21" s="2">
        <v>123</v>
      </c>
      <c r="J21" s="2">
        <v>2333</v>
      </c>
      <c r="K21" s="33">
        <f t="shared" si="1"/>
        <v>18.967479674796749</v>
      </c>
      <c r="L21" s="25"/>
      <c r="M21" s="2">
        <v>6</v>
      </c>
      <c r="N21" s="26" t="s">
        <v>124</v>
      </c>
      <c r="O21" s="2">
        <v>15</v>
      </c>
      <c r="P21" s="2">
        <v>5</v>
      </c>
    </row>
    <row r="22" spans="1:17" x14ac:dyDescent="0.3">
      <c r="A22" s="2">
        <v>6</v>
      </c>
      <c r="B22" s="26" t="s">
        <v>124</v>
      </c>
      <c r="C22" s="2">
        <v>112</v>
      </c>
      <c r="D22" s="2">
        <v>1092</v>
      </c>
      <c r="E22" s="77">
        <f t="shared" si="2"/>
        <v>9.75</v>
      </c>
      <c r="F22" s="25"/>
      <c r="G22" s="2">
        <v>7</v>
      </c>
      <c r="H22" s="26" t="s">
        <v>9</v>
      </c>
      <c r="I22" s="2">
        <v>112</v>
      </c>
      <c r="J22" s="2">
        <v>2121</v>
      </c>
      <c r="K22" s="33">
        <f t="shared" si="1"/>
        <v>18.9375</v>
      </c>
      <c r="L22" s="25"/>
      <c r="M22" s="2">
        <v>7</v>
      </c>
      <c r="N22" s="32" t="s">
        <v>125</v>
      </c>
      <c r="O22" s="2">
        <v>15</v>
      </c>
      <c r="P22" s="2">
        <v>4</v>
      </c>
    </row>
    <row r="23" spans="1:17" x14ac:dyDescent="0.3">
      <c r="A23" s="2">
        <v>7</v>
      </c>
      <c r="B23" s="2" t="s">
        <v>107</v>
      </c>
      <c r="C23" s="2">
        <v>37</v>
      </c>
      <c r="D23" s="2">
        <v>357</v>
      </c>
      <c r="E23" s="77">
        <f t="shared" si="2"/>
        <v>9.6486486486486491</v>
      </c>
      <c r="F23" s="25"/>
      <c r="G23" s="2">
        <v>8</v>
      </c>
      <c r="H23" s="28" t="s">
        <v>11</v>
      </c>
      <c r="I23" s="2">
        <v>102</v>
      </c>
      <c r="J23" s="2">
        <v>1844</v>
      </c>
      <c r="K23" s="33">
        <f t="shared" si="1"/>
        <v>18.078431372549019</v>
      </c>
      <c r="L23" s="25"/>
      <c r="M23" s="2">
        <v>8</v>
      </c>
      <c r="N23" s="29" t="s">
        <v>108</v>
      </c>
      <c r="O23" s="2">
        <v>17</v>
      </c>
      <c r="P23" s="2">
        <v>4</v>
      </c>
    </row>
    <row r="24" spans="1:17" x14ac:dyDescent="0.3">
      <c r="A24" s="2">
        <v>8</v>
      </c>
      <c r="B24" s="29" t="s">
        <v>4</v>
      </c>
      <c r="C24" s="2">
        <v>123</v>
      </c>
      <c r="D24" s="2">
        <v>1171</v>
      </c>
      <c r="E24" s="77">
        <f t="shared" si="2"/>
        <v>9.5203252032520318</v>
      </c>
      <c r="F24" s="25"/>
      <c r="G24" s="25"/>
      <c r="H24" s="25"/>
      <c r="I24" s="25"/>
      <c r="J24" s="25"/>
      <c r="K24" s="25"/>
      <c r="L24" s="25"/>
      <c r="M24" s="2">
        <v>9</v>
      </c>
      <c r="N24" s="30" t="s">
        <v>109</v>
      </c>
      <c r="O24" s="2">
        <v>19</v>
      </c>
      <c r="P24" s="2">
        <v>3</v>
      </c>
    </row>
    <row r="25" spans="1:17" x14ac:dyDescent="0.3">
      <c r="A25" s="2">
        <v>9</v>
      </c>
      <c r="B25" s="28" t="s">
        <v>106</v>
      </c>
      <c r="C25" s="2">
        <v>130</v>
      </c>
      <c r="D25" s="2">
        <v>1234</v>
      </c>
      <c r="E25" s="77">
        <f t="shared" si="2"/>
        <v>9.4923076923076923</v>
      </c>
      <c r="F25" s="25"/>
      <c r="G25" s="25"/>
      <c r="H25" s="25"/>
      <c r="I25" s="25"/>
      <c r="J25" s="25"/>
      <c r="K25" s="25"/>
      <c r="L25" s="25"/>
      <c r="M25" s="2">
        <v>10</v>
      </c>
      <c r="N25" s="31" t="s">
        <v>278</v>
      </c>
      <c r="O25" s="2">
        <v>17</v>
      </c>
      <c r="P25" s="2">
        <v>2</v>
      </c>
    </row>
    <row r="26" spans="1:17" x14ac:dyDescent="0.3">
      <c r="A26" s="2">
        <v>10</v>
      </c>
      <c r="B26" s="29" t="s">
        <v>108</v>
      </c>
      <c r="C26" s="2">
        <v>123</v>
      </c>
      <c r="D26" s="2">
        <v>1162</v>
      </c>
      <c r="E26" s="77">
        <f t="shared" si="2"/>
        <v>9.4471544715447155</v>
      </c>
      <c r="F26" s="25"/>
      <c r="G26" s="25"/>
      <c r="H26" s="25"/>
      <c r="I26" s="25"/>
      <c r="J26" s="25"/>
      <c r="K26" s="25"/>
      <c r="L26" s="25"/>
      <c r="M26" s="2">
        <v>11</v>
      </c>
      <c r="N26" s="2" t="s">
        <v>107</v>
      </c>
      <c r="O26" s="2">
        <v>5</v>
      </c>
      <c r="P26" s="2">
        <v>2</v>
      </c>
      <c r="Q26" s="61"/>
    </row>
    <row r="27" spans="1:17" x14ac:dyDescent="0.3">
      <c r="A27" s="2">
        <v>11</v>
      </c>
      <c r="B27" s="2" t="s">
        <v>126</v>
      </c>
      <c r="C27" s="2">
        <v>76</v>
      </c>
      <c r="D27" s="2">
        <v>711</v>
      </c>
      <c r="E27" s="77">
        <f t="shared" si="2"/>
        <v>9.3552631578947363</v>
      </c>
      <c r="F27" s="25"/>
      <c r="G27" s="25"/>
      <c r="H27" s="25"/>
      <c r="I27" s="25"/>
      <c r="J27" s="25"/>
      <c r="K27" s="25"/>
      <c r="L27" s="25"/>
      <c r="M27" s="2">
        <v>12</v>
      </c>
      <c r="N27" s="26" t="s">
        <v>105</v>
      </c>
      <c r="O27" s="2">
        <v>15</v>
      </c>
      <c r="P27" s="2">
        <v>1</v>
      </c>
    </row>
    <row r="28" spans="1:17" x14ac:dyDescent="0.3">
      <c r="A28" s="2">
        <v>12</v>
      </c>
      <c r="B28" s="31" t="s">
        <v>278</v>
      </c>
      <c r="C28" s="2">
        <v>127</v>
      </c>
      <c r="D28" s="2">
        <v>1182</v>
      </c>
      <c r="E28" s="77">
        <f t="shared" si="2"/>
        <v>9.3070866141732278</v>
      </c>
      <c r="F28" s="25"/>
      <c r="G28" s="25"/>
      <c r="H28" s="25"/>
      <c r="I28" s="25"/>
      <c r="J28" s="25"/>
      <c r="K28" s="25"/>
      <c r="L28" s="25"/>
      <c r="M28" s="2">
        <v>13</v>
      </c>
      <c r="N28" s="29" t="s">
        <v>4</v>
      </c>
      <c r="O28" s="2">
        <v>17</v>
      </c>
      <c r="P28" s="2">
        <v>1</v>
      </c>
    </row>
    <row r="29" spans="1:17" x14ac:dyDescent="0.3">
      <c r="A29" s="2">
        <v>13</v>
      </c>
      <c r="B29" s="28" t="s">
        <v>3</v>
      </c>
      <c r="C29" s="2">
        <v>102</v>
      </c>
      <c r="D29" s="2">
        <v>946</v>
      </c>
      <c r="E29" s="77">
        <f t="shared" si="2"/>
        <v>9.2745098039215694</v>
      </c>
      <c r="F29" s="25"/>
      <c r="G29" s="25"/>
      <c r="H29" s="25"/>
      <c r="I29" s="25"/>
      <c r="J29" s="25"/>
      <c r="K29" s="25"/>
      <c r="L29" s="25"/>
      <c r="M29" s="2">
        <v>14</v>
      </c>
      <c r="N29" s="32" t="s">
        <v>110</v>
      </c>
      <c r="O29" s="2">
        <v>15</v>
      </c>
      <c r="P29" s="2">
        <v>1</v>
      </c>
    </row>
    <row r="30" spans="1:17" x14ac:dyDescent="0.3">
      <c r="A30" s="2">
        <v>14</v>
      </c>
      <c r="B30" s="30" t="s">
        <v>109</v>
      </c>
      <c r="C30" s="2">
        <v>128</v>
      </c>
      <c r="D30" s="2">
        <v>1187</v>
      </c>
      <c r="E30" s="77">
        <f t="shared" si="2"/>
        <v>9.2734375</v>
      </c>
      <c r="F30" s="25"/>
      <c r="G30" s="25"/>
      <c r="H30" s="25"/>
      <c r="I30" s="25"/>
      <c r="J30" s="25"/>
      <c r="K30" s="25"/>
      <c r="L30" s="25"/>
      <c r="M30" s="2">
        <v>15</v>
      </c>
      <c r="N30" s="28" t="s">
        <v>3</v>
      </c>
      <c r="O30" s="2">
        <v>15</v>
      </c>
      <c r="P30" s="2">
        <v>0</v>
      </c>
    </row>
    <row r="31" spans="1:17" x14ac:dyDescent="0.3">
      <c r="A31" s="2">
        <v>15</v>
      </c>
      <c r="B31" s="32" t="s">
        <v>110</v>
      </c>
      <c r="C31" s="2">
        <v>121</v>
      </c>
      <c r="D31" s="2">
        <v>1117</v>
      </c>
      <c r="E31" s="77">
        <f t="shared" si="2"/>
        <v>9.2314049586776861</v>
      </c>
      <c r="F31" s="25"/>
      <c r="G31" s="25"/>
      <c r="H31" s="25"/>
      <c r="I31" s="25"/>
      <c r="J31" s="25"/>
      <c r="K31" s="25"/>
      <c r="L31" s="25"/>
      <c r="M31" s="2">
        <v>16</v>
      </c>
      <c r="N31" s="2" t="s">
        <v>126</v>
      </c>
      <c r="O31" s="2">
        <v>9</v>
      </c>
      <c r="P31" s="2">
        <v>0</v>
      </c>
    </row>
    <row r="32" spans="1:17" x14ac:dyDescent="0.3">
      <c r="A32" s="2">
        <v>16</v>
      </c>
      <c r="B32" s="26" t="s">
        <v>105</v>
      </c>
      <c r="C32" s="2">
        <v>112</v>
      </c>
      <c r="D32" s="2">
        <v>1029</v>
      </c>
      <c r="E32" s="77">
        <f t="shared" si="2"/>
        <v>9.1875</v>
      </c>
      <c r="F32" s="25"/>
      <c r="G32" s="25"/>
      <c r="H32" s="25"/>
      <c r="I32" s="25"/>
      <c r="J32" s="25"/>
      <c r="K32" s="25"/>
      <c r="L32" s="25"/>
      <c r="M32" s="2">
        <v>17</v>
      </c>
      <c r="N32" s="28" t="s">
        <v>127</v>
      </c>
      <c r="O32" s="2">
        <v>9</v>
      </c>
      <c r="P32" s="2">
        <v>0</v>
      </c>
    </row>
    <row r="33" spans="1:16" x14ac:dyDescent="0.3">
      <c r="A33" s="2">
        <v>17</v>
      </c>
      <c r="B33" s="28" t="s">
        <v>2</v>
      </c>
      <c r="C33" s="2">
        <v>44</v>
      </c>
      <c r="D33" s="2">
        <v>395</v>
      </c>
      <c r="E33" s="77">
        <f t="shared" si="2"/>
        <v>8.9772727272727266</v>
      </c>
      <c r="F33" s="25"/>
      <c r="G33" s="25"/>
      <c r="H33" s="25"/>
      <c r="I33" s="25"/>
      <c r="J33" s="25"/>
      <c r="K33" s="25"/>
      <c r="L33" s="25"/>
      <c r="M33" s="2">
        <v>18</v>
      </c>
      <c r="N33" s="2" t="s">
        <v>209</v>
      </c>
      <c r="O33" s="2">
        <v>3</v>
      </c>
      <c r="P33" s="2">
        <v>0</v>
      </c>
    </row>
    <row r="34" spans="1:16" x14ac:dyDescent="0.3">
      <c r="A34" s="2">
        <v>18</v>
      </c>
      <c r="B34" s="28" t="s">
        <v>127</v>
      </c>
      <c r="C34" s="2">
        <v>58</v>
      </c>
      <c r="D34" s="2">
        <v>503</v>
      </c>
      <c r="E34" s="77">
        <f t="shared" si="2"/>
        <v>8.6724137931034484</v>
      </c>
      <c r="F34" s="25"/>
      <c r="G34" s="89" t="s">
        <v>129</v>
      </c>
      <c r="H34" s="81"/>
      <c r="I34" s="81"/>
      <c r="J34" s="81"/>
      <c r="K34" s="81"/>
      <c r="L34" s="25"/>
      <c r="M34" s="2">
        <v>19</v>
      </c>
      <c r="N34" s="28" t="s">
        <v>2</v>
      </c>
      <c r="O34" s="2">
        <v>6</v>
      </c>
      <c r="P34" s="2">
        <v>0</v>
      </c>
    </row>
    <row r="35" spans="1:16" x14ac:dyDescent="0.3">
      <c r="A35" s="2">
        <v>19</v>
      </c>
      <c r="B35" s="2" t="s">
        <v>209</v>
      </c>
      <c r="C35" s="2">
        <v>8</v>
      </c>
      <c r="D35" s="2">
        <v>69</v>
      </c>
      <c r="E35" s="77">
        <f t="shared" si="2"/>
        <v>8.625</v>
      </c>
      <c r="F35" s="25"/>
      <c r="G35" s="81" t="s">
        <v>319</v>
      </c>
      <c r="H35" s="81"/>
      <c r="I35" s="81"/>
      <c r="J35" s="81"/>
      <c r="K35" s="81"/>
      <c r="L35" s="25"/>
      <c r="M35" s="25"/>
      <c r="N35" s="25"/>
      <c r="O35" s="25"/>
      <c r="P35" s="25"/>
    </row>
    <row r="36" spans="1:16" x14ac:dyDescent="0.3">
      <c r="A36" s="79" t="s">
        <v>128</v>
      </c>
      <c r="B36" s="90"/>
      <c r="C36" s="90"/>
      <c r="D36" s="90"/>
      <c r="E36" s="80"/>
      <c r="F36" s="25"/>
      <c r="G36" s="2" t="s">
        <v>101</v>
      </c>
      <c r="H36" s="2" t="s">
        <v>117</v>
      </c>
      <c r="I36" s="2" t="s">
        <v>114</v>
      </c>
      <c r="J36" s="2" t="s">
        <v>130</v>
      </c>
      <c r="K36" s="69" t="s">
        <v>253</v>
      </c>
      <c r="L36" s="25"/>
      <c r="M36" s="25"/>
      <c r="N36" s="25"/>
      <c r="O36" s="25"/>
      <c r="P36" s="25"/>
    </row>
    <row r="37" spans="1:16" x14ac:dyDescent="0.3">
      <c r="A37" s="79" t="s">
        <v>319</v>
      </c>
      <c r="B37" s="90"/>
      <c r="C37" s="90"/>
      <c r="D37" s="90"/>
      <c r="E37" s="80"/>
      <c r="F37" s="25"/>
      <c r="G37" s="2">
        <v>1</v>
      </c>
      <c r="H37" s="30" t="s">
        <v>121</v>
      </c>
      <c r="I37" s="2">
        <v>128</v>
      </c>
      <c r="J37" s="2">
        <v>82</v>
      </c>
      <c r="K37" s="27">
        <f t="shared" ref="K37:K44" si="3">J37/I37</f>
        <v>0.640625</v>
      </c>
      <c r="L37" s="25"/>
      <c r="M37" s="25"/>
      <c r="N37" s="25"/>
      <c r="O37" s="25"/>
      <c r="P37" s="25"/>
    </row>
    <row r="38" spans="1:16" x14ac:dyDescent="0.3">
      <c r="A38" s="2" t="s">
        <v>101</v>
      </c>
      <c r="B38" s="2" t="s">
        <v>19</v>
      </c>
      <c r="C38" s="2" t="s">
        <v>114</v>
      </c>
      <c r="D38" s="2" t="s">
        <v>130</v>
      </c>
      <c r="E38" s="2" t="s">
        <v>131</v>
      </c>
      <c r="F38" s="25"/>
      <c r="G38" s="2">
        <v>2</v>
      </c>
      <c r="H38" s="28" t="s">
        <v>6</v>
      </c>
      <c r="I38" s="2">
        <v>130</v>
      </c>
      <c r="J38" s="2">
        <v>74</v>
      </c>
      <c r="K38" s="27">
        <f t="shared" si="3"/>
        <v>0.56923076923076921</v>
      </c>
      <c r="L38" s="25"/>
      <c r="M38" s="25"/>
      <c r="N38" s="25"/>
      <c r="O38" s="25"/>
      <c r="P38" s="25"/>
    </row>
    <row r="39" spans="1:16" x14ac:dyDescent="0.3">
      <c r="A39" s="2">
        <v>1</v>
      </c>
      <c r="B39" s="30" t="s">
        <v>120</v>
      </c>
      <c r="C39" s="2">
        <v>128</v>
      </c>
      <c r="D39" s="2">
        <v>63</v>
      </c>
      <c r="E39" s="27">
        <f t="shared" ref="E39:E57" si="4">D39/C39</f>
        <v>0.4921875</v>
      </c>
      <c r="F39" s="25"/>
      <c r="G39" s="2">
        <v>3</v>
      </c>
      <c r="H39" s="2" t="s">
        <v>8</v>
      </c>
      <c r="I39" s="2">
        <v>121</v>
      </c>
      <c r="J39" s="2">
        <v>67</v>
      </c>
      <c r="K39" s="27">
        <f t="shared" si="3"/>
        <v>0.55371900826446285</v>
      </c>
      <c r="L39" s="25"/>
      <c r="M39" s="25"/>
      <c r="N39" s="25"/>
      <c r="O39" s="25"/>
      <c r="P39" s="25"/>
    </row>
    <row r="40" spans="1:16" x14ac:dyDescent="0.3">
      <c r="A40" s="2">
        <v>2</v>
      </c>
      <c r="B40" s="2" t="s">
        <v>122</v>
      </c>
      <c r="C40" s="2">
        <v>121</v>
      </c>
      <c r="D40" s="2">
        <v>41</v>
      </c>
      <c r="E40" s="27">
        <f t="shared" si="4"/>
        <v>0.33884297520661155</v>
      </c>
      <c r="F40" s="25"/>
      <c r="G40" s="2">
        <v>4</v>
      </c>
      <c r="H40" s="32" t="s">
        <v>10</v>
      </c>
      <c r="I40" s="2">
        <v>121</v>
      </c>
      <c r="J40" s="2">
        <v>64</v>
      </c>
      <c r="K40" s="27">
        <f t="shared" si="3"/>
        <v>0.52892561983471076</v>
      </c>
      <c r="L40" s="25"/>
      <c r="M40" s="25"/>
      <c r="N40" s="25"/>
      <c r="O40" s="25"/>
      <c r="P40" s="25"/>
    </row>
    <row r="41" spans="1:16" x14ac:dyDescent="0.3">
      <c r="A41" s="2">
        <v>3</v>
      </c>
      <c r="B41" s="31" t="s">
        <v>279</v>
      </c>
      <c r="C41" s="2">
        <v>127</v>
      </c>
      <c r="D41" s="2">
        <v>42</v>
      </c>
      <c r="E41" s="27">
        <f t="shared" si="4"/>
        <v>0.33070866141732286</v>
      </c>
      <c r="F41" s="25"/>
      <c r="G41" s="2">
        <v>5</v>
      </c>
      <c r="H41" s="31" t="s">
        <v>280</v>
      </c>
      <c r="I41" s="2">
        <v>127</v>
      </c>
      <c r="J41" s="2">
        <v>67</v>
      </c>
      <c r="K41" s="27">
        <f t="shared" si="3"/>
        <v>0.52755905511811019</v>
      </c>
      <c r="L41" s="25"/>
      <c r="M41" s="25"/>
      <c r="N41" s="25"/>
      <c r="O41" s="25"/>
      <c r="P41" s="25"/>
    </row>
    <row r="42" spans="1:16" x14ac:dyDescent="0.3">
      <c r="A42" s="2">
        <v>4</v>
      </c>
      <c r="B42" s="32" t="s">
        <v>125</v>
      </c>
      <c r="C42" s="2">
        <v>121</v>
      </c>
      <c r="D42" s="2">
        <v>38</v>
      </c>
      <c r="E42" s="27">
        <f t="shared" si="4"/>
        <v>0.31404958677685951</v>
      </c>
      <c r="F42" s="25"/>
      <c r="G42" s="2">
        <v>6</v>
      </c>
      <c r="H42" s="26" t="s">
        <v>9</v>
      </c>
      <c r="I42" s="2">
        <v>112</v>
      </c>
      <c r="J42" s="2">
        <v>52</v>
      </c>
      <c r="K42" s="27">
        <f t="shared" si="3"/>
        <v>0.4642857142857143</v>
      </c>
      <c r="L42" s="25"/>
      <c r="M42" s="25"/>
      <c r="N42" s="25"/>
      <c r="O42" s="25"/>
      <c r="P42" s="25"/>
    </row>
    <row r="43" spans="1:16" x14ac:dyDescent="0.3">
      <c r="A43" s="2">
        <v>5</v>
      </c>
      <c r="B43" s="2" t="s">
        <v>107</v>
      </c>
      <c r="C43" s="2">
        <v>37</v>
      </c>
      <c r="D43" s="2">
        <v>11</v>
      </c>
      <c r="E43" s="27">
        <f t="shared" si="4"/>
        <v>0.29729729729729731</v>
      </c>
      <c r="F43" s="25"/>
      <c r="G43" s="2">
        <v>7</v>
      </c>
      <c r="H43" s="29" t="s">
        <v>7</v>
      </c>
      <c r="I43" s="2">
        <v>123</v>
      </c>
      <c r="J43" s="2">
        <v>44</v>
      </c>
      <c r="K43" s="27">
        <f t="shared" si="3"/>
        <v>0.35772357723577236</v>
      </c>
      <c r="L43" s="25"/>
      <c r="M43" s="25"/>
      <c r="N43" s="25"/>
      <c r="O43" s="25"/>
      <c r="P43" s="25"/>
    </row>
    <row r="44" spans="1:16" x14ac:dyDescent="0.3">
      <c r="A44" s="2">
        <v>6</v>
      </c>
      <c r="B44" s="26" t="s">
        <v>124</v>
      </c>
      <c r="C44" s="2">
        <v>112</v>
      </c>
      <c r="D44" s="2">
        <v>33</v>
      </c>
      <c r="E44" s="27">
        <f t="shared" si="4"/>
        <v>0.29464285714285715</v>
      </c>
      <c r="F44" s="25"/>
      <c r="G44" s="2">
        <v>8</v>
      </c>
      <c r="H44" s="28" t="s">
        <v>11</v>
      </c>
      <c r="I44" s="2">
        <v>102</v>
      </c>
      <c r="J44" s="2">
        <v>32</v>
      </c>
      <c r="K44" s="27">
        <f t="shared" si="3"/>
        <v>0.31372549019607843</v>
      </c>
      <c r="L44" s="25"/>
      <c r="M44" s="25"/>
      <c r="N44" s="25"/>
      <c r="O44" s="25"/>
      <c r="P44" s="25"/>
    </row>
    <row r="45" spans="1:16" x14ac:dyDescent="0.3">
      <c r="A45" s="2">
        <v>7</v>
      </c>
      <c r="B45" s="28" t="s">
        <v>123</v>
      </c>
      <c r="C45" s="2">
        <v>130</v>
      </c>
      <c r="D45" s="2">
        <v>38</v>
      </c>
      <c r="E45" s="27">
        <f t="shared" si="4"/>
        <v>0.29230769230769232</v>
      </c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x14ac:dyDescent="0.3">
      <c r="A46" s="2">
        <v>8</v>
      </c>
      <c r="B46" s="28" t="s">
        <v>106</v>
      </c>
      <c r="C46" s="2">
        <v>130</v>
      </c>
      <c r="D46" s="2">
        <v>36</v>
      </c>
      <c r="E46" s="27">
        <f t="shared" si="4"/>
        <v>0.27692307692307694</v>
      </c>
      <c r="F46" s="25"/>
      <c r="G46" s="89" t="s">
        <v>269</v>
      </c>
      <c r="H46" s="81"/>
      <c r="I46" s="81"/>
      <c r="J46" s="81"/>
      <c r="K46" s="81"/>
      <c r="L46" s="25"/>
      <c r="M46" s="25"/>
      <c r="N46" s="25"/>
      <c r="O46" s="25"/>
      <c r="P46" s="25"/>
    </row>
    <row r="47" spans="1:16" x14ac:dyDescent="0.3">
      <c r="A47" s="2">
        <v>9</v>
      </c>
      <c r="B47" s="28" t="s">
        <v>3</v>
      </c>
      <c r="C47" s="2">
        <v>102</v>
      </c>
      <c r="D47" s="2">
        <v>23</v>
      </c>
      <c r="E47" s="27">
        <f t="shared" si="4"/>
        <v>0.22549019607843138</v>
      </c>
      <c r="F47" s="25"/>
      <c r="G47" s="81" t="s">
        <v>319</v>
      </c>
      <c r="H47" s="81"/>
      <c r="I47" s="81"/>
      <c r="J47" s="81"/>
      <c r="K47" s="81"/>
      <c r="L47" s="25"/>
      <c r="M47" s="25"/>
      <c r="N47" s="25"/>
      <c r="O47" s="25"/>
      <c r="P47" s="25"/>
    </row>
    <row r="48" spans="1:16" x14ac:dyDescent="0.3">
      <c r="A48" s="2">
        <v>10</v>
      </c>
      <c r="B48" s="32" t="s">
        <v>110</v>
      </c>
      <c r="C48" s="2">
        <v>121</v>
      </c>
      <c r="D48" s="2">
        <v>26</v>
      </c>
      <c r="E48" s="27">
        <f t="shared" si="4"/>
        <v>0.21487603305785125</v>
      </c>
      <c r="F48" s="25"/>
      <c r="G48" s="2" t="s">
        <v>101</v>
      </c>
      <c r="H48" s="2" t="s">
        <v>117</v>
      </c>
      <c r="I48" s="2" t="s">
        <v>132</v>
      </c>
      <c r="J48" s="2" t="s">
        <v>133</v>
      </c>
      <c r="K48" s="2" t="s">
        <v>104</v>
      </c>
      <c r="L48" s="25"/>
      <c r="M48" s="25"/>
      <c r="N48" s="25"/>
      <c r="O48" s="25"/>
      <c r="P48" s="25"/>
    </row>
    <row r="49" spans="1:17" x14ac:dyDescent="0.3">
      <c r="A49" s="2">
        <v>11</v>
      </c>
      <c r="B49" s="29" t="s">
        <v>4</v>
      </c>
      <c r="C49" s="2">
        <v>123</v>
      </c>
      <c r="D49" s="2">
        <v>25</v>
      </c>
      <c r="E49" s="27">
        <f t="shared" si="4"/>
        <v>0.2032520325203252</v>
      </c>
      <c r="F49" s="25"/>
      <c r="G49" s="2">
        <v>1</v>
      </c>
      <c r="H49" s="30" t="s">
        <v>121</v>
      </c>
      <c r="I49" s="2">
        <v>16</v>
      </c>
      <c r="J49" s="2">
        <v>16</v>
      </c>
      <c r="K49" s="27">
        <f>J49/I49</f>
        <v>1</v>
      </c>
      <c r="L49" s="25"/>
      <c r="M49" s="25"/>
      <c r="N49" s="25"/>
      <c r="O49" s="25"/>
      <c r="P49" s="25"/>
    </row>
    <row r="50" spans="1:17" x14ac:dyDescent="0.3">
      <c r="A50" s="2">
        <v>12</v>
      </c>
      <c r="B50" s="2" t="s">
        <v>126</v>
      </c>
      <c r="C50" s="2">
        <v>76</v>
      </c>
      <c r="D50" s="2">
        <v>15</v>
      </c>
      <c r="E50" s="27">
        <f t="shared" si="4"/>
        <v>0.19736842105263158</v>
      </c>
      <c r="F50" s="25"/>
      <c r="G50" s="2">
        <v>2</v>
      </c>
      <c r="H50" s="2" t="s">
        <v>8</v>
      </c>
      <c r="I50" s="2">
        <v>15</v>
      </c>
      <c r="J50" s="2">
        <v>11</v>
      </c>
      <c r="K50" s="27">
        <f>J50/I50</f>
        <v>0.73333333333333328</v>
      </c>
      <c r="L50" s="25"/>
      <c r="M50" s="25"/>
      <c r="N50" s="25"/>
      <c r="O50" s="25"/>
      <c r="P50" s="25"/>
    </row>
    <row r="51" spans="1:17" x14ac:dyDescent="0.3">
      <c r="A51" s="2">
        <v>13</v>
      </c>
      <c r="B51" s="31" t="s">
        <v>278</v>
      </c>
      <c r="C51" s="2">
        <v>127</v>
      </c>
      <c r="D51" s="2">
        <v>25</v>
      </c>
      <c r="E51" s="27">
        <f t="shared" si="4"/>
        <v>0.19685039370078741</v>
      </c>
      <c r="F51" s="25"/>
      <c r="G51" s="2">
        <v>3</v>
      </c>
      <c r="H51" s="28" t="s">
        <v>6</v>
      </c>
      <c r="I51" s="2">
        <v>16</v>
      </c>
      <c r="J51" s="2">
        <v>11</v>
      </c>
      <c r="K51" s="27">
        <f>J51/I51</f>
        <v>0.6875</v>
      </c>
      <c r="L51" s="25"/>
      <c r="M51" s="25"/>
      <c r="N51" s="25"/>
      <c r="O51" s="25"/>
      <c r="P51" s="25"/>
    </row>
    <row r="52" spans="1:17" x14ac:dyDescent="0.3">
      <c r="A52" s="2">
        <v>14</v>
      </c>
      <c r="B52" s="26" t="s">
        <v>105</v>
      </c>
      <c r="C52" s="2">
        <v>112</v>
      </c>
      <c r="D52" s="2">
        <v>19</v>
      </c>
      <c r="E52" s="27">
        <f t="shared" si="4"/>
        <v>0.16964285714285715</v>
      </c>
      <c r="F52" s="25"/>
      <c r="G52" s="2">
        <v>4</v>
      </c>
      <c r="H52" s="31" t="s">
        <v>280</v>
      </c>
      <c r="I52" s="2">
        <v>15</v>
      </c>
      <c r="J52" s="2">
        <v>7</v>
      </c>
      <c r="K52" s="27">
        <f>J52/I52</f>
        <v>0.46666666666666667</v>
      </c>
      <c r="L52" s="25"/>
      <c r="M52" s="25"/>
      <c r="N52" s="25"/>
      <c r="O52" s="25"/>
      <c r="P52" s="25"/>
    </row>
    <row r="53" spans="1:17" x14ac:dyDescent="0.3">
      <c r="A53" s="2">
        <v>15</v>
      </c>
      <c r="B53" s="29" t="s">
        <v>108</v>
      </c>
      <c r="C53" s="2">
        <v>123</v>
      </c>
      <c r="D53" s="2">
        <v>19</v>
      </c>
      <c r="E53" s="27">
        <f t="shared" si="4"/>
        <v>0.15447154471544716</v>
      </c>
      <c r="F53" s="25"/>
      <c r="G53" s="2">
        <v>5</v>
      </c>
      <c r="H53" s="26" t="s">
        <v>9</v>
      </c>
      <c r="I53" s="2">
        <v>14</v>
      </c>
      <c r="J53" s="2">
        <v>6</v>
      </c>
      <c r="K53" s="27">
        <f>J53/I53</f>
        <v>0.42857142857142855</v>
      </c>
      <c r="L53" s="25"/>
      <c r="M53" s="25"/>
      <c r="N53" s="25"/>
      <c r="O53" s="25"/>
      <c r="P53" s="25"/>
    </row>
    <row r="54" spans="1:17" x14ac:dyDescent="0.3">
      <c r="A54" s="2">
        <v>16</v>
      </c>
      <c r="B54" s="30" t="s">
        <v>109</v>
      </c>
      <c r="C54" s="2">
        <v>128</v>
      </c>
      <c r="D54" s="2">
        <v>19</v>
      </c>
      <c r="E54" s="27">
        <f t="shared" si="4"/>
        <v>0.1484375</v>
      </c>
      <c r="F54" s="25"/>
      <c r="G54" s="2">
        <v>6</v>
      </c>
      <c r="H54" s="32" t="s">
        <v>10</v>
      </c>
      <c r="I54" s="2">
        <v>15</v>
      </c>
      <c r="J54" s="2">
        <v>5</v>
      </c>
      <c r="K54" s="27">
        <f>J54/I54</f>
        <v>0.33333333333333331</v>
      </c>
      <c r="L54" s="25"/>
      <c r="M54" s="25"/>
      <c r="N54" s="25"/>
      <c r="O54" s="25"/>
      <c r="P54" s="25"/>
    </row>
    <row r="55" spans="1:17" x14ac:dyDescent="0.3">
      <c r="A55" s="2">
        <v>17</v>
      </c>
      <c r="B55" s="28" t="s">
        <v>2</v>
      </c>
      <c r="C55" s="2">
        <v>44</v>
      </c>
      <c r="D55" s="2">
        <v>4</v>
      </c>
      <c r="E55" s="27">
        <f t="shared" si="4"/>
        <v>9.0909090909090912E-2</v>
      </c>
      <c r="F55" s="25"/>
      <c r="G55" s="2">
        <v>7</v>
      </c>
      <c r="H55" s="29" t="s">
        <v>7</v>
      </c>
      <c r="I55" s="2">
        <v>15</v>
      </c>
      <c r="J55" s="2">
        <v>4</v>
      </c>
      <c r="K55" s="27">
        <f>J55/I55</f>
        <v>0.26666666666666666</v>
      </c>
      <c r="L55" s="25"/>
      <c r="M55" s="25"/>
      <c r="N55" s="25"/>
      <c r="O55" s="25"/>
      <c r="P55" s="25"/>
    </row>
    <row r="56" spans="1:17" x14ac:dyDescent="0.3">
      <c r="A56" s="2">
        <v>18</v>
      </c>
      <c r="B56" s="28" t="s">
        <v>127</v>
      </c>
      <c r="C56" s="2">
        <v>58</v>
      </c>
      <c r="D56" s="2">
        <v>5</v>
      </c>
      <c r="E56" s="27">
        <f t="shared" si="4"/>
        <v>8.6206896551724144E-2</v>
      </c>
      <c r="F56" s="25"/>
      <c r="G56" s="2">
        <v>8</v>
      </c>
      <c r="H56" s="28" t="s">
        <v>11</v>
      </c>
      <c r="I56" s="2">
        <v>14</v>
      </c>
      <c r="J56" s="2">
        <v>0</v>
      </c>
      <c r="K56" s="27">
        <f>J56/I56</f>
        <v>0</v>
      </c>
      <c r="L56" s="25"/>
      <c r="M56" s="25"/>
      <c r="N56" s="25"/>
      <c r="O56" s="25"/>
      <c r="P56" s="25"/>
    </row>
    <row r="57" spans="1:17" x14ac:dyDescent="0.3">
      <c r="A57" s="2">
        <v>19</v>
      </c>
      <c r="B57" s="2" t="s">
        <v>209</v>
      </c>
      <c r="C57" s="2">
        <v>8</v>
      </c>
      <c r="D57" s="2">
        <v>0</v>
      </c>
      <c r="E57" s="27">
        <f t="shared" si="4"/>
        <v>0</v>
      </c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7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7" x14ac:dyDescent="0.3">
      <c r="A59" s="81" t="s">
        <v>134</v>
      </c>
      <c r="B59" s="81"/>
      <c r="C59" s="81"/>
      <c r="D59" s="81"/>
      <c r="E59" s="81"/>
      <c r="F59" s="25"/>
      <c r="G59" s="89" t="s">
        <v>270</v>
      </c>
      <c r="H59" s="81"/>
      <c r="I59" s="81"/>
      <c r="J59" s="81"/>
      <c r="K59" s="81"/>
      <c r="L59" s="25"/>
      <c r="M59" s="91" t="s">
        <v>273</v>
      </c>
      <c r="N59" s="81"/>
      <c r="O59" s="81"/>
      <c r="P59" s="81"/>
      <c r="Q59" s="81"/>
    </row>
    <row r="60" spans="1:17" x14ac:dyDescent="0.3">
      <c r="A60" s="81" t="s">
        <v>319</v>
      </c>
      <c r="B60" s="81"/>
      <c r="C60" s="81"/>
      <c r="D60" s="81"/>
      <c r="E60" s="81"/>
      <c r="F60" s="25"/>
      <c r="G60" s="81" t="s">
        <v>319</v>
      </c>
      <c r="H60" s="81"/>
      <c r="I60" s="81"/>
      <c r="J60" s="81"/>
      <c r="K60" s="81"/>
      <c r="L60" s="25"/>
      <c r="M60" s="81" t="s">
        <v>319</v>
      </c>
      <c r="N60" s="81"/>
      <c r="O60" s="81"/>
      <c r="P60" s="81"/>
      <c r="Q60" s="81"/>
    </row>
    <row r="61" spans="1:17" x14ac:dyDescent="0.3">
      <c r="A61" s="2" t="s">
        <v>101</v>
      </c>
      <c r="B61" s="2" t="s">
        <v>19</v>
      </c>
      <c r="C61" s="2" t="s">
        <v>135</v>
      </c>
      <c r="D61" s="2" t="s">
        <v>130</v>
      </c>
      <c r="E61" s="2" t="s">
        <v>104</v>
      </c>
      <c r="F61" s="25"/>
      <c r="G61" s="2" t="s">
        <v>101</v>
      </c>
      <c r="H61" s="2" t="s">
        <v>117</v>
      </c>
      <c r="I61" s="2" t="s">
        <v>132</v>
      </c>
      <c r="J61" s="2" t="s">
        <v>133</v>
      </c>
      <c r="K61" s="2" t="s">
        <v>104</v>
      </c>
      <c r="L61" s="25"/>
      <c r="M61" s="2" t="s">
        <v>101</v>
      </c>
      <c r="N61" s="2" t="s">
        <v>19</v>
      </c>
      <c r="O61" s="2" t="s">
        <v>132</v>
      </c>
      <c r="P61" s="2" t="s">
        <v>133</v>
      </c>
      <c r="Q61" s="2" t="s">
        <v>104</v>
      </c>
    </row>
    <row r="62" spans="1:17" x14ac:dyDescent="0.3">
      <c r="A62" s="2">
        <v>1</v>
      </c>
      <c r="B62" s="30" t="s">
        <v>120</v>
      </c>
      <c r="C62" s="2">
        <v>35</v>
      </c>
      <c r="D62" s="2">
        <v>26</v>
      </c>
      <c r="E62" s="27">
        <f t="shared" ref="E62:E68" si="5">D62/C62</f>
        <v>0.74285714285714288</v>
      </c>
      <c r="F62" s="25"/>
      <c r="G62" s="2">
        <v>1</v>
      </c>
      <c r="H62" s="31" t="s">
        <v>280</v>
      </c>
      <c r="I62" s="2">
        <v>2</v>
      </c>
      <c r="J62" s="2">
        <v>2</v>
      </c>
      <c r="K62" s="27">
        <f t="shared" ref="K62:K67" si="6">J62/I62</f>
        <v>1</v>
      </c>
      <c r="L62" s="25"/>
      <c r="M62" s="2">
        <v>1</v>
      </c>
      <c r="N62" s="31" t="s">
        <v>278</v>
      </c>
      <c r="O62" s="2">
        <v>2</v>
      </c>
      <c r="P62" s="2">
        <v>2</v>
      </c>
      <c r="Q62" s="27">
        <f t="shared" ref="Q62:Q69" si="7">P62/O62</f>
        <v>1</v>
      </c>
    </row>
    <row r="63" spans="1:17" x14ac:dyDescent="0.3">
      <c r="A63" s="2">
        <v>2</v>
      </c>
      <c r="B63" s="2" t="s">
        <v>122</v>
      </c>
      <c r="C63" s="2">
        <v>38</v>
      </c>
      <c r="D63" s="2">
        <v>22</v>
      </c>
      <c r="E63" s="27">
        <f t="shared" si="5"/>
        <v>0.57894736842105265</v>
      </c>
      <c r="F63" s="25"/>
      <c r="G63" s="2">
        <v>2</v>
      </c>
      <c r="H63" s="28" t="s">
        <v>6</v>
      </c>
      <c r="I63" s="2">
        <v>3</v>
      </c>
      <c r="J63" s="2">
        <v>2</v>
      </c>
      <c r="K63" s="27">
        <f t="shared" si="6"/>
        <v>0.66666666666666663</v>
      </c>
      <c r="L63" s="25"/>
      <c r="M63" s="2">
        <v>2</v>
      </c>
      <c r="N63" s="28" t="s">
        <v>263</v>
      </c>
      <c r="O63" s="2">
        <v>3</v>
      </c>
      <c r="P63" s="2">
        <v>2</v>
      </c>
      <c r="Q63" s="27">
        <f t="shared" si="7"/>
        <v>0.66666666666666663</v>
      </c>
    </row>
    <row r="64" spans="1:17" x14ac:dyDescent="0.3">
      <c r="A64" s="2">
        <v>3</v>
      </c>
      <c r="B64" s="28" t="s">
        <v>123</v>
      </c>
      <c r="C64" s="2">
        <v>38</v>
      </c>
      <c r="D64" s="2">
        <v>22</v>
      </c>
      <c r="E64" s="27">
        <f t="shared" si="5"/>
        <v>0.57894736842105265</v>
      </c>
      <c r="F64" s="25"/>
      <c r="G64" s="2">
        <v>3</v>
      </c>
      <c r="H64" s="30" t="s">
        <v>121</v>
      </c>
      <c r="I64" s="2">
        <v>3</v>
      </c>
      <c r="J64" s="2">
        <v>2</v>
      </c>
      <c r="K64" s="27">
        <f t="shared" si="6"/>
        <v>0.66666666666666663</v>
      </c>
      <c r="L64" s="25"/>
      <c r="M64" s="2">
        <v>3</v>
      </c>
      <c r="N64" s="37" t="s">
        <v>274</v>
      </c>
      <c r="O64" s="2">
        <v>3</v>
      </c>
      <c r="P64" s="2">
        <v>2</v>
      </c>
      <c r="Q64" s="27">
        <f t="shared" si="7"/>
        <v>0.66666666666666663</v>
      </c>
    </row>
    <row r="65" spans="1:17" x14ac:dyDescent="0.3">
      <c r="A65" s="2">
        <v>4</v>
      </c>
      <c r="B65" s="31" t="s">
        <v>279</v>
      </c>
      <c r="C65" s="2">
        <v>51</v>
      </c>
      <c r="D65" s="2">
        <v>23</v>
      </c>
      <c r="E65" s="27">
        <f t="shared" si="5"/>
        <v>0.45098039215686275</v>
      </c>
      <c r="F65" s="25"/>
      <c r="G65" s="2">
        <v>4</v>
      </c>
      <c r="H65" s="29" t="s">
        <v>7</v>
      </c>
      <c r="I65" s="2">
        <v>2</v>
      </c>
      <c r="J65" s="2">
        <v>1</v>
      </c>
      <c r="K65" s="27">
        <f t="shared" si="6"/>
        <v>0.5</v>
      </c>
      <c r="L65" s="25"/>
      <c r="M65" s="2">
        <v>4</v>
      </c>
      <c r="N65" s="29" t="s">
        <v>275</v>
      </c>
      <c r="O65" s="2">
        <v>2</v>
      </c>
      <c r="P65" s="2">
        <v>1</v>
      </c>
      <c r="Q65" s="27">
        <f t="shared" si="7"/>
        <v>0.5</v>
      </c>
    </row>
    <row r="66" spans="1:17" x14ac:dyDescent="0.3">
      <c r="A66" s="2">
        <v>5</v>
      </c>
      <c r="B66" s="29" t="s">
        <v>4</v>
      </c>
      <c r="C66" s="2">
        <v>35</v>
      </c>
      <c r="D66" s="2">
        <v>14</v>
      </c>
      <c r="E66" s="27">
        <f t="shared" si="5"/>
        <v>0.4</v>
      </c>
      <c r="F66" s="25"/>
      <c r="G66" s="2">
        <v>5</v>
      </c>
      <c r="H66" s="26" t="s">
        <v>9</v>
      </c>
      <c r="I66" s="2">
        <v>1</v>
      </c>
      <c r="J66" s="2">
        <v>0</v>
      </c>
      <c r="K66" s="27">
        <f t="shared" si="6"/>
        <v>0</v>
      </c>
      <c r="L66" s="25"/>
      <c r="M66" s="2">
        <v>5</v>
      </c>
      <c r="N66" s="26" t="s">
        <v>277</v>
      </c>
      <c r="O66" s="2">
        <v>1</v>
      </c>
      <c r="P66" s="2">
        <v>0</v>
      </c>
      <c r="Q66" s="27">
        <f t="shared" si="7"/>
        <v>0</v>
      </c>
    </row>
    <row r="67" spans="1:17" x14ac:dyDescent="0.3">
      <c r="A67" s="2">
        <v>6</v>
      </c>
      <c r="B67" s="32" t="s">
        <v>125</v>
      </c>
      <c r="C67" s="2">
        <v>33</v>
      </c>
      <c r="D67" s="2">
        <v>13</v>
      </c>
      <c r="E67" s="27">
        <f t="shared" si="5"/>
        <v>0.39393939393939392</v>
      </c>
      <c r="F67" s="25"/>
      <c r="G67" s="2">
        <v>6</v>
      </c>
      <c r="H67" s="28" t="s">
        <v>11</v>
      </c>
      <c r="I67" s="2">
        <v>1</v>
      </c>
      <c r="J67" s="2">
        <v>0</v>
      </c>
      <c r="K67" s="27">
        <f t="shared" si="6"/>
        <v>0</v>
      </c>
      <c r="L67" s="25"/>
      <c r="M67" s="2">
        <v>6</v>
      </c>
      <c r="N67" s="28" t="s">
        <v>127</v>
      </c>
      <c r="O67" s="2">
        <v>1</v>
      </c>
      <c r="P67" s="2">
        <v>0</v>
      </c>
      <c r="Q67" s="27">
        <f t="shared" si="7"/>
        <v>0</v>
      </c>
    </row>
    <row r="68" spans="1:17" x14ac:dyDescent="0.3">
      <c r="A68" s="2">
        <v>7</v>
      </c>
      <c r="B68" s="26" t="s">
        <v>124</v>
      </c>
      <c r="C68" s="2">
        <v>12</v>
      </c>
      <c r="D68" s="2">
        <v>2</v>
      </c>
      <c r="E68" s="27">
        <f t="shared" si="5"/>
        <v>0.16666666666666666</v>
      </c>
      <c r="F68" s="25"/>
      <c r="G68" s="2">
        <v>7</v>
      </c>
      <c r="H68" s="2" t="s">
        <v>8</v>
      </c>
      <c r="I68" s="2">
        <v>1</v>
      </c>
      <c r="J68" s="2">
        <v>0</v>
      </c>
      <c r="K68" s="27">
        <f t="shared" ref="K68:K69" si="8">J68/I68</f>
        <v>0</v>
      </c>
      <c r="L68" s="25"/>
      <c r="M68" s="2">
        <v>7</v>
      </c>
      <c r="N68" s="2" t="s">
        <v>209</v>
      </c>
      <c r="O68" s="2">
        <v>1</v>
      </c>
      <c r="P68" s="2">
        <v>0</v>
      </c>
      <c r="Q68" s="27">
        <f t="shared" si="7"/>
        <v>0</v>
      </c>
    </row>
    <row r="69" spans="1:17" x14ac:dyDescent="0.3">
      <c r="A69" s="2"/>
      <c r="B69" s="2"/>
      <c r="C69" s="2"/>
      <c r="D69" s="2"/>
      <c r="E69" s="27" t="e">
        <f t="shared" ref="E69:E74" si="9">D69/C69</f>
        <v>#DIV/0!</v>
      </c>
      <c r="F69" s="25"/>
      <c r="G69" s="2">
        <v>8</v>
      </c>
      <c r="H69" s="32" t="s">
        <v>10</v>
      </c>
      <c r="I69" s="2">
        <v>1</v>
      </c>
      <c r="J69" s="2">
        <v>0</v>
      </c>
      <c r="K69" s="27">
        <f t="shared" si="8"/>
        <v>0</v>
      </c>
      <c r="L69" s="25"/>
      <c r="M69" s="2">
        <v>8</v>
      </c>
      <c r="N69" s="32" t="s">
        <v>276</v>
      </c>
      <c r="O69" s="2">
        <v>1</v>
      </c>
      <c r="P69" s="2">
        <v>0</v>
      </c>
      <c r="Q69" s="27">
        <f t="shared" si="7"/>
        <v>0</v>
      </c>
    </row>
    <row r="70" spans="1:17" x14ac:dyDescent="0.3">
      <c r="A70" s="2"/>
      <c r="B70" s="2"/>
      <c r="C70" s="2"/>
      <c r="D70" s="2"/>
      <c r="E70" s="27" t="e">
        <f t="shared" si="9"/>
        <v>#DIV/0!</v>
      </c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7" x14ac:dyDescent="0.3">
      <c r="A71" s="2"/>
      <c r="B71" s="2"/>
      <c r="C71" s="2"/>
      <c r="D71" s="2"/>
      <c r="E71" s="27" t="e">
        <f t="shared" si="9"/>
        <v>#DIV/0!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7" x14ac:dyDescent="0.3">
      <c r="A72" s="2"/>
      <c r="B72" s="2"/>
      <c r="C72" s="2"/>
      <c r="D72" s="2"/>
      <c r="E72" s="27" t="e">
        <f t="shared" si="9"/>
        <v>#DIV/0!</v>
      </c>
      <c r="F72" s="25"/>
      <c r="G72" s="91" t="s">
        <v>271</v>
      </c>
      <c r="H72" s="81"/>
      <c r="I72" s="81"/>
      <c r="J72" s="81"/>
      <c r="K72" s="81"/>
      <c r="L72" s="25"/>
      <c r="M72" s="91" t="s">
        <v>272</v>
      </c>
      <c r="N72" s="81"/>
      <c r="O72" s="81"/>
      <c r="P72" s="81"/>
      <c r="Q72" s="81"/>
    </row>
    <row r="73" spans="1:17" x14ac:dyDescent="0.3">
      <c r="A73" s="34"/>
      <c r="B73" s="34"/>
      <c r="C73" s="34"/>
      <c r="D73" s="34"/>
      <c r="E73" s="27" t="e">
        <f t="shared" si="9"/>
        <v>#DIV/0!</v>
      </c>
      <c r="F73" s="25"/>
      <c r="G73" s="81" t="s">
        <v>319</v>
      </c>
      <c r="H73" s="81"/>
      <c r="I73" s="81"/>
      <c r="J73" s="81"/>
      <c r="K73" s="81"/>
      <c r="L73" s="25"/>
      <c r="M73" s="81" t="s">
        <v>319</v>
      </c>
      <c r="N73" s="81"/>
      <c r="O73" s="81"/>
      <c r="P73" s="81"/>
      <c r="Q73" s="81"/>
    </row>
    <row r="74" spans="1:17" x14ac:dyDescent="0.3">
      <c r="A74" s="34"/>
      <c r="B74" s="34"/>
      <c r="C74" s="34"/>
      <c r="D74" s="34"/>
      <c r="E74" s="27" t="e">
        <f t="shared" si="9"/>
        <v>#DIV/0!</v>
      </c>
      <c r="F74" s="25"/>
      <c r="G74" s="2" t="s">
        <v>101</v>
      </c>
      <c r="H74" s="2" t="s">
        <v>19</v>
      </c>
      <c r="I74" s="2" t="s">
        <v>135</v>
      </c>
      <c r="J74" s="2" t="s">
        <v>130</v>
      </c>
      <c r="K74" s="2" t="s">
        <v>104</v>
      </c>
      <c r="L74" s="25"/>
      <c r="M74" s="2" t="s">
        <v>101</v>
      </c>
      <c r="N74" s="2" t="s">
        <v>19</v>
      </c>
      <c r="O74" s="2" t="s">
        <v>135</v>
      </c>
      <c r="P74" s="2" t="s">
        <v>130</v>
      </c>
      <c r="Q74" s="2" t="s">
        <v>104</v>
      </c>
    </row>
    <row r="75" spans="1:17" x14ac:dyDescent="0.3">
      <c r="A75" s="25"/>
      <c r="B75" s="25"/>
      <c r="C75" s="25"/>
      <c r="D75" s="25"/>
      <c r="E75" s="25"/>
      <c r="F75" s="25"/>
      <c r="G75" s="2">
        <v>1</v>
      </c>
      <c r="H75" s="29" t="s">
        <v>4</v>
      </c>
      <c r="I75" s="2">
        <v>10</v>
      </c>
      <c r="J75" s="2">
        <v>6</v>
      </c>
      <c r="K75" s="27">
        <f t="shared" ref="K75:K82" si="10">J75/I75</f>
        <v>0.6</v>
      </c>
      <c r="L75" s="25"/>
      <c r="M75" s="2">
        <v>1</v>
      </c>
      <c r="N75" s="31" t="s">
        <v>278</v>
      </c>
      <c r="O75" s="2">
        <v>13</v>
      </c>
      <c r="P75" s="2">
        <v>8</v>
      </c>
      <c r="Q75" s="27">
        <f t="shared" ref="Q75:Q82" si="11">P75/O75</f>
        <v>0.61538461538461542</v>
      </c>
    </row>
    <row r="76" spans="1:17" x14ac:dyDescent="0.3">
      <c r="A76" s="81" t="s">
        <v>136</v>
      </c>
      <c r="B76" s="81"/>
      <c r="C76" s="81"/>
      <c r="D76" s="81"/>
      <c r="E76" s="81"/>
      <c r="F76" s="25"/>
      <c r="G76" s="2">
        <v>2</v>
      </c>
      <c r="H76" s="2" t="s">
        <v>122</v>
      </c>
      <c r="I76" s="2">
        <v>7</v>
      </c>
      <c r="J76" s="2">
        <v>4</v>
      </c>
      <c r="K76" s="27">
        <f t="shared" si="10"/>
        <v>0.5714285714285714</v>
      </c>
      <c r="L76" s="25"/>
      <c r="M76" s="2">
        <v>2</v>
      </c>
      <c r="N76" s="37" t="s">
        <v>274</v>
      </c>
      <c r="O76" s="2">
        <v>18</v>
      </c>
      <c r="P76" s="2">
        <v>11</v>
      </c>
      <c r="Q76" s="27">
        <f t="shared" si="11"/>
        <v>0.61111111111111116</v>
      </c>
    </row>
    <row r="77" spans="1:17" x14ac:dyDescent="0.3">
      <c r="A77" s="81" t="s">
        <v>319</v>
      </c>
      <c r="B77" s="81"/>
      <c r="C77" s="81"/>
      <c r="D77" s="81"/>
      <c r="E77" s="81"/>
      <c r="F77" s="25"/>
      <c r="G77" s="2">
        <v>3</v>
      </c>
      <c r="H77" s="32" t="s">
        <v>125</v>
      </c>
      <c r="I77" s="2">
        <v>7</v>
      </c>
      <c r="J77" s="2">
        <v>4</v>
      </c>
      <c r="K77" s="27">
        <f t="shared" si="10"/>
        <v>0.5714285714285714</v>
      </c>
      <c r="L77" s="25"/>
      <c r="M77" s="2">
        <v>3</v>
      </c>
      <c r="N77" s="28" t="s">
        <v>263</v>
      </c>
      <c r="O77" s="2">
        <v>17</v>
      </c>
      <c r="P77" s="2">
        <v>10</v>
      </c>
      <c r="Q77" s="27">
        <f t="shared" si="11"/>
        <v>0.58823529411764708</v>
      </c>
    </row>
    <row r="78" spans="1:17" x14ac:dyDescent="0.3">
      <c r="A78" s="2" t="s">
        <v>101</v>
      </c>
      <c r="B78" s="2" t="s">
        <v>19</v>
      </c>
      <c r="C78" s="2" t="s">
        <v>137</v>
      </c>
      <c r="D78" s="2" t="s">
        <v>133</v>
      </c>
      <c r="E78" s="2" t="s">
        <v>104</v>
      </c>
      <c r="F78" s="25"/>
      <c r="G78" s="2">
        <v>4</v>
      </c>
      <c r="H78" s="28" t="s">
        <v>123</v>
      </c>
      <c r="I78" s="2">
        <v>18</v>
      </c>
      <c r="J78" s="2">
        <v>10</v>
      </c>
      <c r="K78" s="27">
        <f t="shared" si="10"/>
        <v>0.55555555555555558</v>
      </c>
      <c r="L78" s="25"/>
      <c r="M78" s="2">
        <v>4</v>
      </c>
      <c r="N78" s="29" t="s">
        <v>275</v>
      </c>
      <c r="O78" s="2">
        <v>11</v>
      </c>
      <c r="P78" s="2">
        <v>5</v>
      </c>
      <c r="Q78" s="27">
        <f t="shared" si="11"/>
        <v>0.45454545454545453</v>
      </c>
    </row>
    <row r="79" spans="1:17" x14ac:dyDescent="0.3">
      <c r="A79" s="2">
        <v>1</v>
      </c>
      <c r="B79" s="30" t="s">
        <v>120</v>
      </c>
      <c r="C79" s="2">
        <v>5</v>
      </c>
      <c r="D79" s="2">
        <v>5</v>
      </c>
      <c r="E79" s="27">
        <f t="shared" ref="E79:E85" si="12">D79/C79</f>
        <v>1</v>
      </c>
      <c r="F79" s="25"/>
      <c r="G79" s="2">
        <v>5</v>
      </c>
      <c r="H79" s="31" t="s">
        <v>279</v>
      </c>
      <c r="I79" s="2">
        <v>11</v>
      </c>
      <c r="J79" s="2">
        <v>6</v>
      </c>
      <c r="K79" s="27">
        <f t="shared" si="10"/>
        <v>0.54545454545454541</v>
      </c>
      <c r="L79" s="25"/>
      <c r="M79" s="2">
        <v>5</v>
      </c>
      <c r="N79" s="26" t="s">
        <v>277</v>
      </c>
      <c r="O79" s="2">
        <v>6</v>
      </c>
      <c r="P79" s="2">
        <v>2</v>
      </c>
      <c r="Q79" s="27">
        <f t="shared" si="11"/>
        <v>0.33333333333333331</v>
      </c>
    </row>
    <row r="80" spans="1:17" x14ac:dyDescent="0.3">
      <c r="A80" s="2">
        <v>2</v>
      </c>
      <c r="B80" s="28" t="s">
        <v>123</v>
      </c>
      <c r="C80" s="2">
        <v>5</v>
      </c>
      <c r="D80" s="2">
        <v>4</v>
      </c>
      <c r="E80" s="27">
        <f t="shared" si="12"/>
        <v>0.8</v>
      </c>
      <c r="F80" s="25"/>
      <c r="G80" s="2">
        <v>6</v>
      </c>
      <c r="H80" s="28" t="s">
        <v>3</v>
      </c>
      <c r="I80" s="2">
        <v>5</v>
      </c>
      <c r="J80" s="2">
        <v>2</v>
      </c>
      <c r="K80" s="27">
        <f t="shared" si="10"/>
        <v>0.4</v>
      </c>
      <c r="L80" s="25"/>
      <c r="M80" s="2">
        <v>6</v>
      </c>
      <c r="N80" s="28" t="s">
        <v>127</v>
      </c>
      <c r="O80" s="2">
        <v>6</v>
      </c>
      <c r="P80" s="2">
        <v>2</v>
      </c>
      <c r="Q80" s="27">
        <f t="shared" si="11"/>
        <v>0.33333333333333331</v>
      </c>
    </row>
    <row r="81" spans="1:17" x14ac:dyDescent="0.3">
      <c r="A81" s="2">
        <v>3</v>
      </c>
      <c r="B81" s="2" t="s">
        <v>122</v>
      </c>
      <c r="C81" s="2">
        <v>5</v>
      </c>
      <c r="D81" s="2">
        <v>3</v>
      </c>
      <c r="E81" s="27">
        <f t="shared" si="12"/>
        <v>0.6</v>
      </c>
      <c r="F81" s="25"/>
      <c r="G81" s="2">
        <v>7</v>
      </c>
      <c r="H81" s="30" t="s">
        <v>120</v>
      </c>
      <c r="I81" s="2">
        <v>18</v>
      </c>
      <c r="J81" s="2">
        <v>7</v>
      </c>
      <c r="K81" s="27">
        <f t="shared" si="10"/>
        <v>0.3888888888888889</v>
      </c>
      <c r="L81" s="25"/>
      <c r="M81" s="2">
        <v>7</v>
      </c>
      <c r="N81" s="2" t="s">
        <v>209</v>
      </c>
      <c r="O81" s="2">
        <v>6</v>
      </c>
      <c r="P81" s="2">
        <v>2</v>
      </c>
      <c r="Q81" s="27">
        <f t="shared" si="11"/>
        <v>0.33333333333333331</v>
      </c>
    </row>
    <row r="82" spans="1:17" x14ac:dyDescent="0.3">
      <c r="A82" s="2">
        <v>4</v>
      </c>
      <c r="B82" s="31" t="s">
        <v>279</v>
      </c>
      <c r="C82" s="2">
        <v>6</v>
      </c>
      <c r="D82" s="2">
        <v>2</v>
      </c>
      <c r="E82" s="27">
        <f t="shared" si="12"/>
        <v>0.33333333333333331</v>
      </c>
      <c r="F82" s="25"/>
      <c r="G82" s="2">
        <v>8</v>
      </c>
      <c r="H82" s="26" t="s">
        <v>124</v>
      </c>
      <c r="I82" s="2">
        <v>4</v>
      </c>
      <c r="J82" s="2">
        <v>1</v>
      </c>
      <c r="K82" s="27">
        <f t="shared" si="10"/>
        <v>0.25</v>
      </c>
      <c r="L82" s="25"/>
      <c r="M82" s="2">
        <v>8</v>
      </c>
      <c r="N82" s="32" t="s">
        <v>276</v>
      </c>
      <c r="O82" s="2">
        <v>5</v>
      </c>
      <c r="P82" s="2">
        <v>1</v>
      </c>
      <c r="Q82" s="27">
        <f t="shared" si="11"/>
        <v>0.2</v>
      </c>
    </row>
    <row r="83" spans="1:17" x14ac:dyDescent="0.3">
      <c r="A83" s="2">
        <v>5</v>
      </c>
      <c r="B83" s="32" t="s">
        <v>125</v>
      </c>
      <c r="C83" s="2">
        <v>4</v>
      </c>
      <c r="D83" s="2">
        <v>1</v>
      </c>
      <c r="E83" s="27">
        <f t="shared" si="12"/>
        <v>0.25</v>
      </c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7" x14ac:dyDescent="0.3">
      <c r="A84" s="2">
        <v>6</v>
      </c>
      <c r="B84" s="29" t="s">
        <v>4</v>
      </c>
      <c r="C84" s="2">
        <v>5</v>
      </c>
      <c r="D84" s="2">
        <v>1</v>
      </c>
      <c r="E84" s="27">
        <f t="shared" si="12"/>
        <v>0.2</v>
      </c>
      <c r="F84" s="25"/>
      <c r="G84" s="91" t="s">
        <v>283</v>
      </c>
      <c r="H84" s="81"/>
      <c r="I84" s="81"/>
      <c r="J84" s="81"/>
      <c r="K84" s="81"/>
      <c r="L84" s="25"/>
      <c r="M84" s="91" t="s">
        <v>282</v>
      </c>
      <c r="N84" s="81"/>
      <c r="O84" s="81"/>
      <c r="P84" s="81"/>
      <c r="Q84" s="81"/>
    </row>
    <row r="85" spans="1:17" x14ac:dyDescent="0.3">
      <c r="A85" s="2">
        <v>7</v>
      </c>
      <c r="B85" s="26" t="s">
        <v>124</v>
      </c>
      <c r="C85" s="2">
        <v>2</v>
      </c>
      <c r="D85" s="2">
        <v>0</v>
      </c>
      <c r="E85" s="27">
        <f t="shared" si="12"/>
        <v>0</v>
      </c>
      <c r="F85" s="25"/>
      <c r="G85" s="81" t="s">
        <v>319</v>
      </c>
      <c r="H85" s="81"/>
      <c r="I85" s="81"/>
      <c r="J85" s="81"/>
      <c r="K85" s="81"/>
      <c r="L85" s="25"/>
      <c r="M85" s="81" t="s">
        <v>319</v>
      </c>
      <c r="N85" s="81"/>
      <c r="O85" s="81"/>
      <c r="P85" s="81"/>
      <c r="Q85" s="81"/>
    </row>
    <row r="86" spans="1:17" x14ac:dyDescent="0.3">
      <c r="A86" s="2"/>
      <c r="B86" s="2"/>
      <c r="C86" s="2"/>
      <c r="D86" s="2"/>
      <c r="E86" s="27" t="e">
        <f t="shared" ref="E86:E88" si="13">D86/C86</f>
        <v>#DIV/0!</v>
      </c>
      <c r="F86" s="25"/>
      <c r="G86" s="2" t="s">
        <v>101</v>
      </c>
      <c r="H86" s="2" t="s">
        <v>19</v>
      </c>
      <c r="I86" s="69" t="s">
        <v>284</v>
      </c>
      <c r="J86" s="69" t="s">
        <v>285</v>
      </c>
      <c r="K86" s="2" t="s">
        <v>104</v>
      </c>
      <c r="L86" s="25"/>
      <c r="M86" s="2" t="s">
        <v>101</v>
      </c>
      <c r="N86" s="2" t="s">
        <v>19</v>
      </c>
      <c r="O86" s="69" t="s">
        <v>286</v>
      </c>
      <c r="P86" s="69" t="s">
        <v>287</v>
      </c>
      <c r="Q86" s="2" t="s">
        <v>104</v>
      </c>
    </row>
    <row r="87" spans="1:17" x14ac:dyDescent="0.3">
      <c r="A87" s="2"/>
      <c r="B87" s="2"/>
      <c r="C87" s="2"/>
      <c r="D87" s="2"/>
      <c r="E87" s="27" t="e">
        <f t="shared" si="13"/>
        <v>#DIV/0!</v>
      </c>
      <c r="F87" s="25"/>
      <c r="G87" s="2">
        <v>1</v>
      </c>
      <c r="H87" s="29" t="s">
        <v>4</v>
      </c>
      <c r="I87" s="2">
        <v>1</v>
      </c>
      <c r="J87" s="2">
        <v>1</v>
      </c>
      <c r="K87" s="27">
        <f t="shared" ref="K87:K94" si="14">J87/I87</f>
        <v>1</v>
      </c>
      <c r="L87" s="25"/>
      <c r="M87" s="2">
        <v>1</v>
      </c>
      <c r="N87" s="26" t="s">
        <v>124</v>
      </c>
      <c r="O87" s="2">
        <v>1</v>
      </c>
      <c r="P87" s="2">
        <v>0</v>
      </c>
      <c r="Q87" s="27">
        <f t="shared" ref="Q87:Q94" si="15">P87/O87</f>
        <v>0</v>
      </c>
    </row>
    <row r="88" spans="1:17" x14ac:dyDescent="0.3">
      <c r="A88" s="2"/>
      <c r="B88" s="2"/>
      <c r="C88" s="2"/>
      <c r="D88" s="2"/>
      <c r="E88" s="27" t="e">
        <f t="shared" si="13"/>
        <v>#DIV/0!</v>
      </c>
      <c r="F88" s="25"/>
      <c r="G88" s="2">
        <v>2</v>
      </c>
      <c r="H88" s="28" t="s">
        <v>123</v>
      </c>
      <c r="I88" s="2">
        <v>2</v>
      </c>
      <c r="J88" s="2">
        <v>2</v>
      </c>
      <c r="K88" s="27">
        <f t="shared" si="14"/>
        <v>1</v>
      </c>
      <c r="L88" s="25"/>
      <c r="M88" s="2">
        <v>2</v>
      </c>
      <c r="N88" s="28" t="s">
        <v>3</v>
      </c>
      <c r="O88" s="2">
        <v>1</v>
      </c>
      <c r="P88" s="2">
        <v>0</v>
      </c>
      <c r="Q88" s="27">
        <f t="shared" si="15"/>
        <v>0</v>
      </c>
    </row>
    <row r="89" spans="1:17" x14ac:dyDescent="0.3">
      <c r="A89" s="25"/>
      <c r="B89" s="25"/>
      <c r="C89" s="25"/>
      <c r="D89" s="25"/>
      <c r="E89" s="25"/>
      <c r="F89" s="25"/>
      <c r="G89" s="2">
        <v>3</v>
      </c>
      <c r="H89" s="30" t="s">
        <v>120</v>
      </c>
      <c r="I89" s="2">
        <v>2</v>
      </c>
      <c r="J89" s="2">
        <v>2</v>
      </c>
      <c r="K89" s="27">
        <f t="shared" si="14"/>
        <v>1</v>
      </c>
      <c r="L89" s="25"/>
      <c r="M89" s="2">
        <v>3</v>
      </c>
      <c r="N89" s="2" t="s">
        <v>122</v>
      </c>
      <c r="O89" s="2">
        <v>1</v>
      </c>
      <c r="P89" s="2">
        <v>0</v>
      </c>
      <c r="Q89" s="27">
        <f>P89/O89</f>
        <v>0</v>
      </c>
    </row>
    <row r="90" spans="1:17" x14ac:dyDescent="0.3">
      <c r="A90" s="25"/>
      <c r="B90" s="25"/>
      <c r="C90" s="25"/>
      <c r="D90" s="25"/>
      <c r="E90" s="25"/>
      <c r="F90" s="25"/>
      <c r="G90" s="2">
        <v>4</v>
      </c>
      <c r="H90" s="31" t="s">
        <v>279</v>
      </c>
      <c r="I90" s="2">
        <v>2</v>
      </c>
      <c r="J90" s="2">
        <v>2</v>
      </c>
      <c r="K90" s="27">
        <f>J90/I90</f>
        <v>1</v>
      </c>
      <c r="L90" s="25"/>
      <c r="M90" s="2">
        <v>4</v>
      </c>
      <c r="N90" s="32" t="s">
        <v>125</v>
      </c>
      <c r="O90" s="2">
        <v>1</v>
      </c>
      <c r="P90" s="2">
        <v>0</v>
      </c>
      <c r="Q90" s="27">
        <f>P90/O90</f>
        <v>0</v>
      </c>
    </row>
    <row r="91" spans="1:17" x14ac:dyDescent="0.3">
      <c r="A91" s="25"/>
      <c r="B91" s="25"/>
      <c r="C91" s="25"/>
      <c r="D91" s="25"/>
      <c r="E91" s="25"/>
      <c r="F91" s="25"/>
      <c r="G91" s="2">
        <v>5</v>
      </c>
      <c r="H91" s="2" t="s">
        <v>122</v>
      </c>
      <c r="I91" s="2"/>
      <c r="J91" s="2"/>
      <c r="K91" s="27" t="e">
        <f>J91/I91</f>
        <v>#DIV/0!</v>
      </c>
      <c r="L91" s="25"/>
      <c r="M91" s="2">
        <v>5</v>
      </c>
      <c r="N91" s="30" t="s">
        <v>120</v>
      </c>
      <c r="O91" s="2">
        <v>1</v>
      </c>
      <c r="P91" s="2">
        <v>0</v>
      </c>
      <c r="Q91" s="27">
        <f>P91/O91</f>
        <v>0</v>
      </c>
    </row>
    <row r="92" spans="1:17" x14ac:dyDescent="0.3">
      <c r="G92" s="2">
        <v>6</v>
      </c>
      <c r="H92" s="32" t="s">
        <v>125</v>
      </c>
      <c r="I92" s="2"/>
      <c r="J92" s="2"/>
      <c r="K92" s="27" t="e">
        <f>J92/I92</f>
        <v>#DIV/0!</v>
      </c>
      <c r="M92" s="2">
        <v>6</v>
      </c>
      <c r="N92" s="29" t="s">
        <v>4</v>
      </c>
      <c r="O92" s="2">
        <v>1</v>
      </c>
      <c r="P92" s="2">
        <v>0</v>
      </c>
      <c r="Q92" s="27">
        <f>P92/O92</f>
        <v>0</v>
      </c>
    </row>
    <row r="93" spans="1:17" x14ac:dyDescent="0.3">
      <c r="G93" s="2">
        <v>7</v>
      </c>
      <c r="H93" s="26" t="s">
        <v>124</v>
      </c>
      <c r="I93" s="2"/>
      <c r="J93" s="2"/>
      <c r="K93" s="27" t="e">
        <f>J93/I93</f>
        <v>#DIV/0!</v>
      </c>
      <c r="M93" s="2">
        <v>7</v>
      </c>
      <c r="N93" s="28" t="s">
        <v>123</v>
      </c>
      <c r="O93" s="2">
        <v>1</v>
      </c>
      <c r="P93" s="2">
        <v>0</v>
      </c>
      <c r="Q93" s="27">
        <f>P93/O93</f>
        <v>0</v>
      </c>
    </row>
    <row r="94" spans="1:17" x14ac:dyDescent="0.3">
      <c r="G94" s="2">
        <v>8</v>
      </c>
      <c r="H94" s="28" t="s">
        <v>3</v>
      </c>
      <c r="I94" s="2"/>
      <c r="J94" s="2"/>
      <c r="K94" s="27" t="e">
        <f t="shared" si="14"/>
        <v>#DIV/0!</v>
      </c>
      <c r="M94" s="2">
        <v>8</v>
      </c>
      <c r="N94" s="31" t="s">
        <v>279</v>
      </c>
      <c r="O94" s="2"/>
      <c r="P94" s="2"/>
      <c r="Q94" s="27" t="e">
        <f t="shared" si="15"/>
        <v>#DIV/0!</v>
      </c>
    </row>
    <row r="95" spans="1:17" x14ac:dyDescent="0.3">
      <c r="G95" s="93"/>
      <c r="H95" s="93"/>
      <c r="I95" s="93"/>
      <c r="J95" s="93"/>
      <c r="K95" s="93"/>
    </row>
    <row r="96" spans="1:17" x14ac:dyDescent="0.3">
      <c r="G96" s="94"/>
      <c r="H96" s="94"/>
      <c r="I96" s="94"/>
      <c r="J96" s="94"/>
      <c r="K96" s="94"/>
    </row>
  </sheetData>
  <sortState xmlns:xlrd2="http://schemas.microsoft.com/office/spreadsheetml/2017/richdata2" ref="H49:K56">
    <sortCondition descending="1" ref="K48:K56"/>
  </sortState>
  <mergeCells count="31">
    <mergeCell ref="G84:K84"/>
    <mergeCell ref="G85:K85"/>
    <mergeCell ref="G95:K96"/>
    <mergeCell ref="M84:Q84"/>
    <mergeCell ref="M85:Q85"/>
    <mergeCell ref="G73:K73"/>
    <mergeCell ref="M72:Q72"/>
    <mergeCell ref="M73:Q73"/>
    <mergeCell ref="M59:Q59"/>
    <mergeCell ref="M60:Q60"/>
    <mergeCell ref="A1:E1"/>
    <mergeCell ref="A2:E2"/>
    <mergeCell ref="A14:E14"/>
    <mergeCell ref="A36:E36"/>
    <mergeCell ref="A15:E15"/>
    <mergeCell ref="A59:E59"/>
    <mergeCell ref="A60:E60"/>
    <mergeCell ref="A76:E76"/>
    <mergeCell ref="A77:E77"/>
    <mergeCell ref="M13:P13"/>
    <mergeCell ref="M14:P14"/>
    <mergeCell ref="G13:K13"/>
    <mergeCell ref="G14:K14"/>
    <mergeCell ref="G34:K34"/>
    <mergeCell ref="G35:K35"/>
    <mergeCell ref="G46:K46"/>
    <mergeCell ref="G47:K47"/>
    <mergeCell ref="A37:E37"/>
    <mergeCell ref="G59:K59"/>
    <mergeCell ref="G60:K60"/>
    <mergeCell ref="G72:K7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93973-9E02-4AD2-A213-05C8658ACFBA}">
  <dimension ref="A1:Q48"/>
  <sheetViews>
    <sheetView topLeftCell="A15" workbookViewId="0">
      <selection activeCell="J22" sqref="J22"/>
    </sheetView>
  </sheetViews>
  <sheetFormatPr defaultRowHeight="14" x14ac:dyDescent="0.3"/>
  <cols>
    <col min="2" max="2" width="17" customWidth="1"/>
    <col min="4" max="4" width="13.58203125" customWidth="1"/>
    <col min="5" max="5" width="16.5" customWidth="1"/>
    <col min="6" max="6" width="14.08203125" customWidth="1"/>
    <col min="9" max="9" width="10.1640625" customWidth="1"/>
    <col min="10" max="10" width="8.1640625" customWidth="1"/>
    <col min="11" max="11" width="13.08203125" customWidth="1"/>
    <col min="13" max="13" width="10.58203125" customWidth="1"/>
    <col min="14" max="14" width="13.25" customWidth="1"/>
    <col min="15" max="15" width="14.6640625" customWidth="1"/>
  </cols>
  <sheetData>
    <row r="1" spans="1:16" ht="14.5" x14ac:dyDescent="0.3">
      <c r="A1" s="86" t="s">
        <v>93</v>
      </c>
      <c r="B1" s="86"/>
      <c r="C1" s="86"/>
      <c r="D1" s="86"/>
      <c r="E1" s="86"/>
      <c r="F1" s="86"/>
      <c r="G1" s="86"/>
      <c r="H1" s="86"/>
      <c r="I1" s="86"/>
      <c r="K1" s="82" t="s">
        <v>218</v>
      </c>
      <c r="L1" s="82"/>
      <c r="M1" s="82"/>
      <c r="N1" s="81" t="s">
        <v>243</v>
      </c>
      <c r="O1" s="81"/>
      <c r="P1" s="81"/>
    </row>
    <row r="2" spans="1:16" ht="14.5" x14ac:dyDescent="0.3">
      <c r="A2" s="87" t="s">
        <v>318</v>
      </c>
      <c r="B2" s="86"/>
      <c r="C2" s="86"/>
      <c r="D2" s="86"/>
      <c r="E2" s="86"/>
      <c r="F2" s="86"/>
      <c r="G2" s="86"/>
      <c r="H2" s="86"/>
      <c r="I2" s="86"/>
      <c r="K2" s="21" t="s">
        <v>1</v>
      </c>
      <c r="L2" s="21" t="s">
        <v>219</v>
      </c>
      <c r="M2" s="48" t="s">
        <v>0</v>
      </c>
      <c r="N2" s="1" t="s">
        <v>244</v>
      </c>
      <c r="O2" s="1" t="s">
        <v>19</v>
      </c>
      <c r="P2" s="1" t="s">
        <v>221</v>
      </c>
    </row>
    <row r="3" spans="1:16" ht="14.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K3" s="30" t="s">
        <v>120</v>
      </c>
      <c r="L3" s="2">
        <v>14</v>
      </c>
      <c r="M3" s="2">
        <v>1</v>
      </c>
      <c r="N3" s="81" t="s">
        <v>323</v>
      </c>
      <c r="O3" s="30" t="s">
        <v>120</v>
      </c>
      <c r="P3" s="1">
        <v>11</v>
      </c>
    </row>
    <row r="4" spans="1:16" ht="14.5" x14ac:dyDescent="0.3">
      <c r="A4" s="83" t="s">
        <v>25</v>
      </c>
      <c r="B4" s="1" t="s">
        <v>26</v>
      </c>
      <c r="C4" s="3" t="s">
        <v>317</v>
      </c>
      <c r="D4" s="1" t="s">
        <v>188</v>
      </c>
      <c r="E4" s="42" t="s">
        <v>268</v>
      </c>
      <c r="F4" s="39" t="s">
        <v>165</v>
      </c>
      <c r="G4" s="1" t="s">
        <v>245</v>
      </c>
      <c r="H4" s="42" t="s">
        <v>185</v>
      </c>
      <c r="I4" s="1" t="s">
        <v>316</v>
      </c>
      <c r="K4" s="28" t="s">
        <v>123</v>
      </c>
      <c r="L4" s="2">
        <v>9</v>
      </c>
      <c r="M4" s="2">
        <v>2</v>
      </c>
      <c r="N4" s="81"/>
      <c r="O4" s="28" t="s">
        <v>123</v>
      </c>
      <c r="P4" s="1">
        <v>3</v>
      </c>
    </row>
    <row r="5" spans="1:16" ht="14.5" x14ac:dyDescent="0.3">
      <c r="A5" s="84"/>
      <c r="B5" s="1" t="s">
        <v>28</v>
      </c>
      <c r="C5" s="3" t="s">
        <v>205</v>
      </c>
      <c r="D5" s="29" t="s">
        <v>4</v>
      </c>
      <c r="E5" s="5" t="s">
        <v>29</v>
      </c>
      <c r="F5" s="6" t="s">
        <v>30</v>
      </c>
      <c r="G5" s="1" t="s">
        <v>246</v>
      </c>
      <c r="H5" s="7" t="s">
        <v>31</v>
      </c>
      <c r="I5" s="1" t="s">
        <v>296</v>
      </c>
      <c r="K5" s="29" t="s">
        <v>4</v>
      </c>
      <c r="L5" s="2">
        <v>4</v>
      </c>
      <c r="M5" s="2">
        <v>3</v>
      </c>
      <c r="N5" s="81"/>
      <c r="O5" s="1" t="s">
        <v>188</v>
      </c>
      <c r="P5" s="1">
        <v>3</v>
      </c>
    </row>
    <row r="6" spans="1:16" ht="14.5" x14ac:dyDescent="0.3">
      <c r="A6" s="84"/>
      <c r="B6" s="1" t="s">
        <v>32</v>
      </c>
      <c r="C6" s="3" t="s">
        <v>168</v>
      </c>
      <c r="D6" s="37" t="s">
        <v>163</v>
      </c>
      <c r="E6" s="17" t="s">
        <v>56</v>
      </c>
      <c r="F6" s="6" t="s">
        <v>30</v>
      </c>
      <c r="G6" s="1" t="s">
        <v>248</v>
      </c>
      <c r="H6" s="8" t="s">
        <v>33</v>
      </c>
      <c r="I6" s="1" t="s">
        <v>169</v>
      </c>
      <c r="K6" s="31" t="s">
        <v>12</v>
      </c>
      <c r="L6" s="2">
        <v>4</v>
      </c>
      <c r="M6" s="2">
        <v>4</v>
      </c>
      <c r="N6" s="81"/>
      <c r="O6" s="31" t="s">
        <v>12</v>
      </c>
      <c r="P6" s="1">
        <v>3</v>
      </c>
    </row>
    <row r="7" spans="1:16" ht="14.5" x14ac:dyDescent="0.3">
      <c r="A7" s="84"/>
      <c r="B7" s="1" t="s">
        <v>34</v>
      </c>
      <c r="C7" s="3" t="s">
        <v>170</v>
      </c>
      <c r="D7" s="31" t="s">
        <v>171</v>
      </c>
      <c r="E7" s="12" t="s">
        <v>43</v>
      </c>
      <c r="F7" s="9" t="s">
        <v>35</v>
      </c>
      <c r="G7" s="1" t="s">
        <v>248</v>
      </c>
      <c r="H7" s="7" t="s">
        <v>31</v>
      </c>
      <c r="I7" s="1" t="s">
        <v>172</v>
      </c>
      <c r="K7" s="1" t="s">
        <v>188</v>
      </c>
      <c r="L7" s="2">
        <v>3</v>
      </c>
      <c r="M7" s="2">
        <v>5</v>
      </c>
      <c r="N7" s="81"/>
      <c r="O7" s="31" t="s">
        <v>278</v>
      </c>
      <c r="P7" s="1">
        <v>2</v>
      </c>
    </row>
    <row r="8" spans="1:16" ht="14.5" x14ac:dyDescent="0.3">
      <c r="A8" s="84"/>
      <c r="B8" s="1" t="s">
        <v>36</v>
      </c>
      <c r="C8" s="3" t="s">
        <v>322</v>
      </c>
      <c r="D8" s="30" t="s">
        <v>120</v>
      </c>
      <c r="E8" s="17" t="s">
        <v>56</v>
      </c>
      <c r="F8" s="6" t="s">
        <v>30</v>
      </c>
      <c r="G8" s="1" t="s">
        <v>245</v>
      </c>
      <c r="H8" s="8" t="s">
        <v>33</v>
      </c>
      <c r="I8" s="70" t="s">
        <v>321</v>
      </c>
      <c r="K8" s="30" t="s">
        <v>109</v>
      </c>
      <c r="L8" s="2">
        <v>2</v>
      </c>
      <c r="M8" s="2">
        <v>6</v>
      </c>
      <c r="N8" s="81"/>
      <c r="O8" s="1" t="s">
        <v>209</v>
      </c>
      <c r="P8" s="1">
        <v>1</v>
      </c>
    </row>
    <row r="9" spans="1:16" ht="14.5" x14ac:dyDescent="0.3">
      <c r="A9" s="84"/>
      <c r="B9" s="1" t="s">
        <v>40</v>
      </c>
      <c r="C9" s="3" t="s">
        <v>265</v>
      </c>
      <c r="D9" s="31" t="s">
        <v>12</v>
      </c>
      <c r="E9" s="76" t="s">
        <v>266</v>
      </c>
      <c r="F9" s="41" t="s">
        <v>175</v>
      </c>
      <c r="G9" s="1" t="s">
        <v>245</v>
      </c>
      <c r="H9" s="7" t="s">
        <v>31</v>
      </c>
      <c r="I9" s="1" t="s">
        <v>264</v>
      </c>
      <c r="K9" s="31" t="s">
        <v>278</v>
      </c>
      <c r="L9" s="2">
        <v>2</v>
      </c>
      <c r="M9" s="2">
        <v>7</v>
      </c>
      <c r="N9" s="81"/>
      <c r="O9" s="26" t="s">
        <v>124</v>
      </c>
      <c r="P9" s="2">
        <v>1</v>
      </c>
    </row>
    <row r="10" spans="1:16" ht="14.5" x14ac:dyDescent="0.3">
      <c r="A10" s="84"/>
      <c r="B10" s="1" t="s">
        <v>42</v>
      </c>
      <c r="C10" s="3" t="s">
        <v>176</v>
      </c>
      <c r="D10" s="37" t="s">
        <v>163</v>
      </c>
      <c r="E10" s="19" t="s">
        <v>177</v>
      </c>
      <c r="F10" s="41" t="s">
        <v>175</v>
      </c>
      <c r="G10" s="1" t="s">
        <v>248</v>
      </c>
      <c r="H10" s="7" t="s">
        <v>31</v>
      </c>
      <c r="I10" s="1" t="s">
        <v>178</v>
      </c>
      <c r="K10" s="1" t="s">
        <v>209</v>
      </c>
      <c r="L10" s="2">
        <v>1</v>
      </c>
      <c r="M10" s="2">
        <v>8</v>
      </c>
      <c r="N10" s="81"/>
      <c r="O10" s="32" t="s">
        <v>110</v>
      </c>
      <c r="P10" s="1">
        <v>1</v>
      </c>
    </row>
    <row r="11" spans="1:16" ht="14.5" x14ac:dyDescent="0.3">
      <c r="A11" s="84"/>
      <c r="B11" s="1" t="s">
        <v>44</v>
      </c>
      <c r="C11" s="3" t="s">
        <v>295</v>
      </c>
      <c r="D11" s="31" t="s">
        <v>12</v>
      </c>
      <c r="E11" s="13" t="s">
        <v>45</v>
      </c>
      <c r="F11" s="47" t="s">
        <v>212</v>
      </c>
      <c r="G11" s="1" t="s">
        <v>246</v>
      </c>
      <c r="H11" s="13" t="s">
        <v>47</v>
      </c>
      <c r="I11" s="1" t="s">
        <v>296</v>
      </c>
      <c r="K11" s="26" t="s">
        <v>124</v>
      </c>
      <c r="L11" s="2">
        <v>1</v>
      </c>
      <c r="M11" s="2">
        <v>9</v>
      </c>
      <c r="N11" s="81"/>
      <c r="O11" s="30" t="s">
        <v>109</v>
      </c>
      <c r="P11" s="1">
        <v>1</v>
      </c>
    </row>
    <row r="12" spans="1:16" ht="14.5" x14ac:dyDescent="0.3">
      <c r="A12" s="84"/>
      <c r="B12" s="1" t="s">
        <v>48</v>
      </c>
      <c r="C12" s="3" t="s">
        <v>179</v>
      </c>
      <c r="D12" s="32" t="s">
        <v>110</v>
      </c>
      <c r="E12" s="40" t="s">
        <v>180</v>
      </c>
      <c r="F12" s="6" t="s">
        <v>30</v>
      </c>
      <c r="G12" s="1" t="s">
        <v>245</v>
      </c>
      <c r="H12" s="40" t="s">
        <v>174</v>
      </c>
      <c r="I12" s="1" t="s">
        <v>181</v>
      </c>
      <c r="K12" s="32" t="s">
        <v>110</v>
      </c>
      <c r="L12" s="2">
        <v>1</v>
      </c>
      <c r="M12" s="2">
        <v>10</v>
      </c>
      <c r="N12" s="81"/>
      <c r="O12" s="26" t="s">
        <v>105</v>
      </c>
      <c r="P12" s="1">
        <v>1</v>
      </c>
    </row>
    <row r="13" spans="1:16" ht="14.5" x14ac:dyDescent="0.3">
      <c r="A13" s="84"/>
      <c r="B13" s="1" t="s">
        <v>49</v>
      </c>
      <c r="C13" s="3" t="s">
        <v>182</v>
      </c>
      <c r="D13" s="28" t="s">
        <v>123</v>
      </c>
      <c r="E13" s="12" t="s">
        <v>43</v>
      </c>
      <c r="F13" s="6" t="s">
        <v>30</v>
      </c>
      <c r="G13" s="1" t="s">
        <v>248</v>
      </c>
      <c r="H13" s="7" t="s">
        <v>31</v>
      </c>
      <c r="I13" s="1" t="s">
        <v>183</v>
      </c>
      <c r="K13" s="31" t="s">
        <v>171</v>
      </c>
      <c r="L13" s="2">
        <v>1</v>
      </c>
      <c r="M13" s="2">
        <v>11</v>
      </c>
      <c r="N13" s="81"/>
      <c r="O13" s="32" t="s">
        <v>125</v>
      </c>
      <c r="P13" s="74">
        <v>1</v>
      </c>
    </row>
    <row r="14" spans="1:16" ht="14.5" x14ac:dyDescent="0.3">
      <c r="A14" s="84"/>
      <c r="B14" s="1" t="s">
        <v>50</v>
      </c>
      <c r="C14" s="3" t="s">
        <v>293</v>
      </c>
      <c r="D14" s="30" t="s">
        <v>120</v>
      </c>
      <c r="E14" s="42" t="s">
        <v>184</v>
      </c>
      <c r="F14" s="6" t="s">
        <v>30</v>
      </c>
      <c r="G14" s="1" t="s">
        <v>245</v>
      </c>
      <c r="H14" s="42" t="s">
        <v>185</v>
      </c>
      <c r="I14" s="1" t="s">
        <v>290</v>
      </c>
      <c r="K14" s="28" t="s">
        <v>3</v>
      </c>
      <c r="L14" s="2">
        <v>1</v>
      </c>
      <c r="M14" s="2">
        <v>12</v>
      </c>
      <c r="N14" s="81"/>
      <c r="O14" s="28"/>
      <c r="P14" s="1"/>
    </row>
    <row r="15" spans="1:16" ht="14.5" x14ac:dyDescent="0.3">
      <c r="A15" s="84"/>
      <c r="B15" s="1" t="s">
        <v>52</v>
      </c>
      <c r="C15" s="3" t="s">
        <v>186</v>
      </c>
      <c r="D15" s="28" t="s">
        <v>123</v>
      </c>
      <c r="E15" s="16" t="s">
        <v>53</v>
      </c>
      <c r="F15" s="1" t="s">
        <v>35</v>
      </c>
      <c r="G15" s="1" t="s">
        <v>248</v>
      </c>
      <c r="H15" s="7" t="s">
        <v>31</v>
      </c>
      <c r="I15" s="1" t="s">
        <v>169</v>
      </c>
      <c r="K15" s="26" t="s">
        <v>105</v>
      </c>
      <c r="L15" s="2">
        <v>1</v>
      </c>
      <c r="M15" s="2">
        <v>13</v>
      </c>
      <c r="N15" s="81" t="s">
        <v>324</v>
      </c>
      <c r="O15" s="72" t="s">
        <v>123</v>
      </c>
      <c r="P15" s="73">
        <v>6</v>
      </c>
    </row>
    <row r="16" spans="1:16" ht="14.5" x14ac:dyDescent="0.3">
      <c r="A16" s="84"/>
      <c r="B16" s="18" t="s">
        <v>99</v>
      </c>
      <c r="C16" s="3" t="s">
        <v>305</v>
      </c>
      <c r="D16" s="30" t="s">
        <v>120</v>
      </c>
      <c r="E16" s="5" t="s">
        <v>29</v>
      </c>
      <c r="F16" s="6" t="s">
        <v>30</v>
      </c>
      <c r="G16" s="1" t="s">
        <v>245</v>
      </c>
      <c r="H16" s="7" t="s">
        <v>31</v>
      </c>
      <c r="I16" s="1" t="s">
        <v>304</v>
      </c>
      <c r="K16" s="32" t="s">
        <v>125</v>
      </c>
      <c r="L16" s="2">
        <v>1</v>
      </c>
      <c r="M16" s="2">
        <v>14</v>
      </c>
      <c r="N16" s="81"/>
      <c r="O16" s="29" t="s">
        <v>4</v>
      </c>
      <c r="P16" s="1">
        <v>4</v>
      </c>
    </row>
    <row r="17" spans="1:17" ht="14.5" x14ac:dyDescent="0.3">
      <c r="A17" s="84"/>
      <c r="B17" s="18" t="s">
        <v>100</v>
      </c>
      <c r="C17" s="3" t="s">
        <v>311</v>
      </c>
      <c r="D17" s="26" t="s">
        <v>124</v>
      </c>
      <c r="E17" s="40" t="s">
        <v>173</v>
      </c>
      <c r="F17" s="47" t="s">
        <v>212</v>
      </c>
      <c r="G17" s="1" t="s">
        <v>245</v>
      </c>
      <c r="H17" s="40" t="s">
        <v>174</v>
      </c>
      <c r="I17" s="1" t="s">
        <v>312</v>
      </c>
      <c r="K17" s="28"/>
      <c r="L17" s="2"/>
      <c r="M17" s="2">
        <v>15</v>
      </c>
      <c r="N17" s="81"/>
      <c r="O17" s="30" t="s">
        <v>120</v>
      </c>
      <c r="P17" s="1">
        <v>3</v>
      </c>
    </row>
    <row r="18" spans="1:17" ht="14.5" x14ac:dyDescent="0.3">
      <c r="A18" s="84"/>
      <c r="B18" s="18" t="s">
        <v>95</v>
      </c>
      <c r="C18" s="3" t="s">
        <v>289</v>
      </c>
      <c r="D18" s="28" t="s">
        <v>3</v>
      </c>
      <c r="E18" s="10" t="s">
        <v>37</v>
      </c>
      <c r="F18" s="6" t="s">
        <v>30</v>
      </c>
      <c r="G18" s="1" t="s">
        <v>246</v>
      </c>
      <c r="H18" s="10" t="s">
        <v>39</v>
      </c>
      <c r="I18" s="1" t="s">
        <v>281</v>
      </c>
      <c r="K18" s="32"/>
      <c r="L18" s="2"/>
      <c r="M18" s="2">
        <v>16</v>
      </c>
      <c r="N18" s="81"/>
      <c r="O18" s="30" t="s">
        <v>109</v>
      </c>
      <c r="P18" s="1">
        <v>1</v>
      </c>
      <c r="Q18" s="61"/>
    </row>
    <row r="19" spans="1:17" ht="14.5" x14ac:dyDescent="0.3">
      <c r="A19" s="84"/>
      <c r="B19" s="18" t="s">
        <v>96</v>
      </c>
      <c r="C19" s="3" t="s">
        <v>187</v>
      </c>
      <c r="D19" s="1" t="s">
        <v>188</v>
      </c>
      <c r="E19" s="5" t="s">
        <v>29</v>
      </c>
      <c r="F19" s="1" t="s">
        <v>35</v>
      </c>
      <c r="G19" s="1" t="s">
        <v>245</v>
      </c>
      <c r="H19" s="5" t="s">
        <v>191</v>
      </c>
      <c r="I19" s="1" t="s">
        <v>190</v>
      </c>
      <c r="N19" s="81"/>
      <c r="O19" s="31" t="s">
        <v>12</v>
      </c>
      <c r="P19" s="1">
        <v>1</v>
      </c>
      <c r="Q19" s="61"/>
    </row>
    <row r="20" spans="1:17" ht="14.5" x14ac:dyDescent="0.3">
      <c r="A20" s="85"/>
      <c r="B20" s="18" t="s">
        <v>97</v>
      </c>
      <c r="C20" s="3" t="s">
        <v>309</v>
      </c>
      <c r="D20" s="26" t="s">
        <v>105</v>
      </c>
      <c r="E20" s="5" t="s">
        <v>29</v>
      </c>
      <c r="F20" s="6" t="s">
        <v>30</v>
      </c>
      <c r="G20" s="1" t="s">
        <v>245</v>
      </c>
      <c r="H20" s="5" t="s">
        <v>191</v>
      </c>
      <c r="I20" s="1" t="s">
        <v>308</v>
      </c>
      <c r="N20" s="81"/>
      <c r="O20" s="31" t="s">
        <v>171</v>
      </c>
      <c r="P20" s="1">
        <v>1</v>
      </c>
      <c r="Q20" s="61"/>
    </row>
    <row r="21" spans="1:17" ht="14.5" x14ac:dyDescent="0.3">
      <c r="A21" s="88" t="s">
        <v>54</v>
      </c>
      <c r="B21" s="1" t="s">
        <v>55</v>
      </c>
      <c r="C21" s="3" t="s">
        <v>320</v>
      </c>
      <c r="D21" s="30" t="s">
        <v>120</v>
      </c>
      <c r="E21" s="40" t="s">
        <v>301</v>
      </c>
      <c r="F21" s="41" t="s">
        <v>175</v>
      </c>
      <c r="G21" s="1" t="s">
        <v>245</v>
      </c>
      <c r="H21" s="40" t="s">
        <v>174</v>
      </c>
      <c r="I21" s="70" t="s">
        <v>321</v>
      </c>
      <c r="N21" s="81"/>
      <c r="O21" s="28" t="s">
        <v>3</v>
      </c>
      <c r="P21" s="1">
        <v>1</v>
      </c>
      <c r="Q21" s="61"/>
    </row>
    <row r="22" spans="1:17" ht="14.5" x14ac:dyDescent="0.3">
      <c r="A22" s="84"/>
      <c r="B22" s="18" t="s">
        <v>57</v>
      </c>
      <c r="C22" s="3" t="s">
        <v>193</v>
      </c>
      <c r="D22" s="1" t="s">
        <v>192</v>
      </c>
      <c r="E22" s="10" t="s">
        <v>37</v>
      </c>
      <c r="F22" s="14" t="s">
        <v>46</v>
      </c>
      <c r="G22" s="1" t="s">
        <v>247</v>
      </c>
      <c r="H22" s="10" t="s">
        <v>39</v>
      </c>
      <c r="I22" s="1" t="s">
        <v>194</v>
      </c>
      <c r="N22" s="81"/>
      <c r="O22" s="1"/>
      <c r="P22" s="1"/>
      <c r="Q22" s="61"/>
    </row>
    <row r="23" spans="1:17" ht="14.5" x14ac:dyDescent="0.3">
      <c r="A23" s="84"/>
      <c r="B23" s="1" t="s">
        <v>58</v>
      </c>
      <c r="C23" s="3" t="s">
        <v>292</v>
      </c>
      <c r="D23" s="30" t="s">
        <v>120</v>
      </c>
      <c r="E23" s="44" t="s">
        <v>195</v>
      </c>
      <c r="F23" s="41" t="s">
        <v>175</v>
      </c>
      <c r="G23" s="1" t="s">
        <v>245</v>
      </c>
      <c r="H23" s="7" t="s">
        <v>31</v>
      </c>
      <c r="I23" s="1" t="s">
        <v>290</v>
      </c>
      <c r="N23" s="81"/>
      <c r="O23" s="32"/>
      <c r="P23" s="1"/>
      <c r="Q23" s="61"/>
    </row>
    <row r="24" spans="1:17" ht="14.5" x14ac:dyDescent="0.3">
      <c r="A24" s="84"/>
      <c r="B24" s="1" t="s">
        <v>59</v>
      </c>
      <c r="C24" s="3" t="s">
        <v>291</v>
      </c>
      <c r="D24" s="30" t="s">
        <v>120</v>
      </c>
      <c r="E24" s="12" t="s">
        <v>43</v>
      </c>
      <c r="F24" s="45" t="s">
        <v>206</v>
      </c>
      <c r="G24" s="1" t="s">
        <v>245</v>
      </c>
      <c r="H24" s="7" t="s">
        <v>31</v>
      </c>
      <c r="I24" s="1" t="s">
        <v>290</v>
      </c>
      <c r="N24" s="81"/>
      <c r="O24" s="31"/>
      <c r="P24" s="1"/>
      <c r="Q24" s="61"/>
    </row>
    <row r="25" spans="1:17" ht="14.5" x14ac:dyDescent="0.3">
      <c r="A25" s="84"/>
      <c r="B25" s="18" t="s">
        <v>60</v>
      </c>
      <c r="C25" s="3" t="s">
        <v>294</v>
      </c>
      <c r="D25" s="37" t="s">
        <v>274</v>
      </c>
      <c r="E25" s="44" t="s">
        <v>195</v>
      </c>
      <c r="F25" s="41" t="s">
        <v>175</v>
      </c>
      <c r="G25" s="1" t="s">
        <v>246</v>
      </c>
      <c r="H25" s="7" t="s">
        <v>31</v>
      </c>
      <c r="I25" s="1" t="s">
        <v>290</v>
      </c>
      <c r="Q25" s="61"/>
    </row>
    <row r="26" spans="1:17" ht="14.5" x14ac:dyDescent="0.3">
      <c r="A26" s="84"/>
      <c r="B26" s="18" t="s">
        <v>61</v>
      </c>
      <c r="C26" s="3" t="s">
        <v>197</v>
      </c>
      <c r="D26" s="1" t="s">
        <v>188</v>
      </c>
      <c r="E26" s="19" t="s">
        <v>62</v>
      </c>
      <c r="F26" s="1" t="s">
        <v>35</v>
      </c>
      <c r="G26" s="1" t="s">
        <v>245</v>
      </c>
      <c r="H26" s="19" t="s">
        <v>63</v>
      </c>
      <c r="I26" s="1" t="s">
        <v>198</v>
      </c>
      <c r="Q26" s="61"/>
    </row>
    <row r="27" spans="1:17" ht="14.5" x14ac:dyDescent="0.3">
      <c r="A27" s="84"/>
      <c r="B27" s="18" t="s">
        <v>64</v>
      </c>
      <c r="C27" s="3" t="s">
        <v>199</v>
      </c>
      <c r="D27" s="28" t="s">
        <v>123</v>
      </c>
      <c r="E27" s="40" t="s">
        <v>173</v>
      </c>
      <c r="F27" s="14" t="s">
        <v>46</v>
      </c>
      <c r="G27" s="1" t="s">
        <v>246</v>
      </c>
      <c r="H27" s="40" t="s">
        <v>174</v>
      </c>
      <c r="I27" s="1" t="s">
        <v>200</v>
      </c>
      <c r="Q27" s="61"/>
    </row>
    <row r="28" spans="1:17" ht="14.5" x14ac:dyDescent="0.3">
      <c r="A28" s="84"/>
      <c r="B28" s="18" t="s">
        <v>65</v>
      </c>
      <c r="C28" s="3" t="s">
        <v>310</v>
      </c>
      <c r="D28" s="31" t="s">
        <v>12</v>
      </c>
      <c r="E28" s="12" t="s">
        <v>43</v>
      </c>
      <c r="F28" s="41" t="s">
        <v>175</v>
      </c>
      <c r="G28" s="1" t="s">
        <v>245</v>
      </c>
      <c r="H28" s="43" t="s">
        <v>201</v>
      </c>
      <c r="I28" s="1" t="s">
        <v>308</v>
      </c>
      <c r="K28" s="79" t="s">
        <v>220</v>
      </c>
      <c r="L28" s="80"/>
      <c r="M28" s="79" t="s">
        <v>234</v>
      </c>
      <c r="N28" s="80"/>
      <c r="O28" s="79" t="s">
        <v>240</v>
      </c>
      <c r="P28" s="80"/>
      <c r="Q28" s="61"/>
    </row>
    <row r="29" spans="1:17" ht="14.5" x14ac:dyDescent="0.3">
      <c r="A29" s="84"/>
      <c r="B29" s="18" t="s">
        <v>66</v>
      </c>
      <c r="C29" s="3" t="s">
        <v>202</v>
      </c>
      <c r="D29" s="28" t="s">
        <v>123</v>
      </c>
      <c r="E29" s="10" t="s">
        <v>37</v>
      </c>
      <c r="F29" s="41" t="s">
        <v>175</v>
      </c>
      <c r="G29" s="1" t="s">
        <v>248</v>
      </c>
      <c r="H29" s="10" t="s">
        <v>39</v>
      </c>
      <c r="I29" s="1" t="s">
        <v>189</v>
      </c>
      <c r="K29" s="2" t="s">
        <v>20</v>
      </c>
      <c r="L29" s="2" t="s">
        <v>221</v>
      </c>
      <c r="M29" s="2" t="s">
        <v>21</v>
      </c>
      <c r="N29" s="2" t="s">
        <v>221</v>
      </c>
      <c r="O29" s="2" t="s">
        <v>23</v>
      </c>
      <c r="P29" s="2" t="s">
        <v>221</v>
      </c>
      <c r="Q29" s="61"/>
    </row>
    <row r="30" spans="1:17" ht="14.5" x14ac:dyDescent="0.3">
      <c r="A30" s="84"/>
      <c r="B30" s="18" t="s">
        <v>67</v>
      </c>
      <c r="C30" s="3" t="s">
        <v>203</v>
      </c>
      <c r="D30" s="13" t="s">
        <v>68</v>
      </c>
      <c r="E30" s="17" t="s">
        <v>56</v>
      </c>
      <c r="F30" s="1" t="s">
        <v>35</v>
      </c>
      <c r="G30" s="1" t="s">
        <v>246</v>
      </c>
      <c r="H30" s="8" t="s">
        <v>33</v>
      </c>
      <c r="I30" s="1" t="s">
        <v>204</v>
      </c>
      <c r="K30" s="54" t="s">
        <v>224</v>
      </c>
      <c r="L30" s="2">
        <v>6</v>
      </c>
      <c r="M30" s="62" t="s">
        <v>30</v>
      </c>
      <c r="N30" s="2">
        <v>10</v>
      </c>
      <c r="O30" s="7" t="s">
        <v>31</v>
      </c>
      <c r="P30" s="2">
        <v>13</v>
      </c>
      <c r="Q30" s="61"/>
    </row>
    <row r="31" spans="1:17" ht="14.5" x14ac:dyDescent="0.3">
      <c r="A31" s="84"/>
      <c r="B31" s="18" t="s">
        <v>69</v>
      </c>
      <c r="C31" s="3" t="s">
        <v>205</v>
      </c>
      <c r="D31" s="30" t="s">
        <v>120</v>
      </c>
      <c r="E31" s="42" t="s">
        <v>184</v>
      </c>
      <c r="F31" s="45" t="s">
        <v>206</v>
      </c>
      <c r="G31" s="1" t="s">
        <v>245</v>
      </c>
      <c r="H31" s="42" t="s">
        <v>185</v>
      </c>
      <c r="I31" s="1" t="s">
        <v>196</v>
      </c>
      <c r="K31" s="53" t="s">
        <v>223</v>
      </c>
      <c r="L31" s="2">
        <v>5</v>
      </c>
      <c r="M31" s="29" t="s">
        <v>235</v>
      </c>
      <c r="N31" s="2">
        <v>9</v>
      </c>
      <c r="O31" s="40" t="s">
        <v>174</v>
      </c>
      <c r="P31" s="2">
        <v>6</v>
      </c>
      <c r="Q31" s="61"/>
    </row>
    <row r="32" spans="1:17" ht="14.5" x14ac:dyDescent="0.3">
      <c r="A32" s="84"/>
      <c r="B32" s="18" t="s">
        <v>70</v>
      </c>
      <c r="C32" s="3" t="s">
        <v>260</v>
      </c>
      <c r="D32" s="30" t="s">
        <v>120</v>
      </c>
      <c r="E32" s="75" t="s">
        <v>261</v>
      </c>
      <c r="F32" s="45" t="s">
        <v>206</v>
      </c>
      <c r="G32" s="1" t="s">
        <v>245</v>
      </c>
      <c r="H32" s="75" t="s">
        <v>262</v>
      </c>
      <c r="I32" s="1" t="s">
        <v>259</v>
      </c>
      <c r="K32" s="52" t="s">
        <v>222</v>
      </c>
      <c r="L32" s="2">
        <v>5</v>
      </c>
      <c r="M32" s="2" t="s">
        <v>35</v>
      </c>
      <c r="N32" s="2">
        <v>6</v>
      </c>
      <c r="O32" s="42" t="s">
        <v>185</v>
      </c>
      <c r="P32" s="2">
        <v>6</v>
      </c>
      <c r="Q32" s="61"/>
    </row>
    <row r="33" spans="1:17" ht="14.5" x14ac:dyDescent="0.3">
      <c r="A33" s="84"/>
      <c r="B33" s="18" t="s">
        <v>71</v>
      </c>
      <c r="C33" s="3" t="s">
        <v>207</v>
      </c>
      <c r="D33" s="28" t="s">
        <v>123</v>
      </c>
      <c r="E33" s="20" t="s">
        <v>72</v>
      </c>
      <c r="F33" s="46" t="s">
        <v>208</v>
      </c>
      <c r="G33" s="1" t="s">
        <v>247</v>
      </c>
      <c r="H33" s="7" t="s">
        <v>31</v>
      </c>
      <c r="I33" s="1" t="s">
        <v>167</v>
      </c>
      <c r="K33" s="57" t="s">
        <v>226</v>
      </c>
      <c r="L33" s="2">
        <v>5</v>
      </c>
      <c r="M33" s="66" t="s">
        <v>239</v>
      </c>
      <c r="N33" s="2">
        <v>6</v>
      </c>
      <c r="O33" s="38" t="s">
        <v>166</v>
      </c>
      <c r="P33" s="2">
        <v>5</v>
      </c>
      <c r="Q33" s="61"/>
    </row>
    <row r="34" spans="1:17" ht="14.5" x14ac:dyDescent="0.3">
      <c r="A34" s="84"/>
      <c r="B34" s="18" t="s">
        <v>98</v>
      </c>
      <c r="C34" s="3" t="s">
        <v>300</v>
      </c>
      <c r="D34" s="30" t="s">
        <v>120</v>
      </c>
      <c r="E34" s="40" t="s">
        <v>301</v>
      </c>
      <c r="F34" s="6" t="s">
        <v>30</v>
      </c>
      <c r="G34" s="1" t="s">
        <v>246</v>
      </c>
      <c r="H34" s="40" t="s">
        <v>174</v>
      </c>
      <c r="I34" s="1" t="s">
        <v>298</v>
      </c>
      <c r="K34" s="56" t="s">
        <v>225</v>
      </c>
      <c r="L34" s="2">
        <v>4</v>
      </c>
      <c r="M34" s="64" t="s">
        <v>237</v>
      </c>
      <c r="N34" s="2">
        <v>5</v>
      </c>
      <c r="O34" s="10" t="s">
        <v>39</v>
      </c>
      <c r="P34" s="2">
        <v>5</v>
      </c>
      <c r="Q34" s="61"/>
    </row>
    <row r="35" spans="1:17" ht="14.5" x14ac:dyDescent="0.3">
      <c r="A35" s="85"/>
      <c r="B35" s="18" t="s">
        <v>73</v>
      </c>
      <c r="C35" s="3" t="s">
        <v>306</v>
      </c>
      <c r="D35" s="31" t="s">
        <v>12</v>
      </c>
      <c r="E35" s="17" t="s">
        <v>56</v>
      </c>
      <c r="F35" s="1" t="s">
        <v>35</v>
      </c>
      <c r="G35" s="1" t="s">
        <v>245</v>
      </c>
      <c r="H35" s="8" t="s">
        <v>33</v>
      </c>
      <c r="I35" s="1" t="s">
        <v>304</v>
      </c>
      <c r="K35" s="29" t="s">
        <v>231</v>
      </c>
      <c r="L35" s="2">
        <v>4</v>
      </c>
      <c r="M35" s="53" t="s">
        <v>27</v>
      </c>
      <c r="N35" s="2">
        <v>3</v>
      </c>
      <c r="O35" s="8" t="s">
        <v>33</v>
      </c>
      <c r="P35" s="2">
        <v>4</v>
      </c>
      <c r="Q35" s="61"/>
    </row>
    <row r="36" spans="1:17" ht="14.5" x14ac:dyDescent="0.3">
      <c r="A36" s="82" t="s">
        <v>74</v>
      </c>
      <c r="B36" s="18" t="s">
        <v>75</v>
      </c>
      <c r="C36" s="3" t="s">
        <v>307</v>
      </c>
      <c r="D36" s="31" t="s">
        <v>278</v>
      </c>
      <c r="E36" s="38" t="s">
        <v>164</v>
      </c>
      <c r="F36" s="45" t="s">
        <v>206</v>
      </c>
      <c r="G36" s="1" t="s">
        <v>247</v>
      </c>
      <c r="H36" s="38" t="s">
        <v>166</v>
      </c>
      <c r="I36" s="1" t="s">
        <v>304</v>
      </c>
      <c r="K36" s="55" t="s">
        <v>236</v>
      </c>
      <c r="L36" s="2">
        <v>4</v>
      </c>
      <c r="M36" s="65" t="s">
        <v>238</v>
      </c>
      <c r="N36" s="2">
        <v>3</v>
      </c>
      <c r="O36" s="5" t="s">
        <v>191</v>
      </c>
      <c r="P36" s="2">
        <v>2</v>
      </c>
    </row>
    <row r="37" spans="1:17" ht="14.5" x14ac:dyDescent="0.3">
      <c r="A37" s="81"/>
      <c r="B37" s="18" t="s">
        <v>76</v>
      </c>
      <c r="C37" s="3" t="s">
        <v>210</v>
      </c>
      <c r="D37" s="13" t="s">
        <v>68</v>
      </c>
      <c r="E37" s="23" t="s">
        <v>77</v>
      </c>
      <c r="F37" s="24" t="s">
        <v>78</v>
      </c>
      <c r="G37" s="1" t="s">
        <v>248</v>
      </c>
      <c r="H37" s="23" t="s">
        <v>79</v>
      </c>
      <c r="I37" s="1" t="s">
        <v>211</v>
      </c>
      <c r="K37" s="58" t="s">
        <v>227</v>
      </c>
      <c r="L37" s="2">
        <v>3</v>
      </c>
      <c r="M37" s="63" t="s">
        <v>46</v>
      </c>
      <c r="N37" s="2">
        <v>2</v>
      </c>
      <c r="O37" s="15" t="s">
        <v>51</v>
      </c>
      <c r="P37" s="2">
        <v>1</v>
      </c>
    </row>
    <row r="38" spans="1:17" ht="14.5" x14ac:dyDescent="0.3">
      <c r="A38" s="81"/>
      <c r="B38" s="18" t="s">
        <v>80</v>
      </c>
      <c r="C38" s="3" t="s">
        <v>325</v>
      </c>
      <c r="D38" s="31" t="s">
        <v>278</v>
      </c>
      <c r="E38" s="42" t="s">
        <v>268</v>
      </c>
      <c r="F38" s="45" t="s">
        <v>206</v>
      </c>
      <c r="G38" s="1" t="s">
        <v>245</v>
      </c>
      <c r="H38" s="42" t="s">
        <v>185</v>
      </c>
      <c r="I38" s="70" t="s">
        <v>321</v>
      </c>
      <c r="K38" s="30" t="s">
        <v>229</v>
      </c>
      <c r="L38" s="2">
        <v>2</v>
      </c>
      <c r="M38" s="30" t="s">
        <v>38</v>
      </c>
      <c r="N38" s="2">
        <v>1</v>
      </c>
      <c r="O38" s="7" t="s">
        <v>241</v>
      </c>
      <c r="P38" s="2">
        <v>1</v>
      </c>
    </row>
    <row r="39" spans="1:17" ht="14.5" x14ac:dyDescent="0.3">
      <c r="A39" s="81"/>
      <c r="B39" s="18" t="s">
        <v>81</v>
      </c>
      <c r="C39" s="3" t="s">
        <v>303</v>
      </c>
      <c r="D39" s="30" t="s">
        <v>120</v>
      </c>
      <c r="E39" s="38" t="s">
        <v>216</v>
      </c>
      <c r="F39" s="4" t="s">
        <v>27</v>
      </c>
      <c r="G39" s="1" t="s">
        <v>245</v>
      </c>
      <c r="H39" s="38" t="s">
        <v>166</v>
      </c>
      <c r="I39" s="1" t="s">
        <v>302</v>
      </c>
      <c r="K39" s="49" t="s">
        <v>228</v>
      </c>
      <c r="L39" s="2">
        <v>1</v>
      </c>
      <c r="M39" s="61"/>
      <c r="N39" s="61"/>
      <c r="O39" s="67" t="s">
        <v>242</v>
      </c>
      <c r="P39" s="2">
        <v>1</v>
      </c>
    </row>
    <row r="40" spans="1:17" ht="14.5" x14ac:dyDescent="0.3">
      <c r="A40" s="81"/>
      <c r="B40" s="18" t="s">
        <v>94</v>
      </c>
      <c r="C40" s="3" t="s">
        <v>297</v>
      </c>
      <c r="D40" s="29" t="s">
        <v>4</v>
      </c>
      <c r="E40" s="44" t="s">
        <v>195</v>
      </c>
      <c r="F40" s="47" t="s">
        <v>212</v>
      </c>
      <c r="G40" s="1" t="s">
        <v>246</v>
      </c>
      <c r="H40" s="7" t="s">
        <v>31</v>
      </c>
      <c r="I40" s="1" t="s">
        <v>296</v>
      </c>
      <c r="K40" s="59" t="s">
        <v>41</v>
      </c>
      <c r="L40" s="2">
        <v>1</v>
      </c>
      <c r="M40" s="61"/>
      <c r="N40" s="61"/>
      <c r="O40" s="13" t="s">
        <v>47</v>
      </c>
      <c r="P40" s="2">
        <v>1</v>
      </c>
    </row>
    <row r="41" spans="1:17" ht="14.5" x14ac:dyDescent="0.3">
      <c r="A41" s="81"/>
      <c r="B41" s="18" t="s">
        <v>82</v>
      </c>
      <c r="C41" s="3" t="s">
        <v>213</v>
      </c>
      <c r="D41" s="37" t="s">
        <v>214</v>
      </c>
      <c r="E41" s="22" t="s">
        <v>83</v>
      </c>
      <c r="F41" s="24" t="s">
        <v>78</v>
      </c>
      <c r="G41" s="1" t="s">
        <v>247</v>
      </c>
      <c r="H41" s="7" t="s">
        <v>31</v>
      </c>
      <c r="I41" s="1" t="s">
        <v>169</v>
      </c>
      <c r="K41" s="50" t="s">
        <v>230</v>
      </c>
      <c r="L41" s="2">
        <v>1</v>
      </c>
      <c r="M41" s="61"/>
      <c r="N41" s="61"/>
      <c r="O41" s="75" t="s">
        <v>262</v>
      </c>
      <c r="P41" s="2">
        <v>1</v>
      </c>
    </row>
    <row r="42" spans="1:17" ht="14.5" x14ac:dyDescent="0.3">
      <c r="A42" s="81"/>
      <c r="B42" s="18" t="s">
        <v>84</v>
      </c>
      <c r="C42" s="3" t="s">
        <v>256</v>
      </c>
      <c r="D42" s="28" t="s">
        <v>123</v>
      </c>
      <c r="E42" s="38" t="s">
        <v>164</v>
      </c>
      <c r="F42" s="47" t="s">
        <v>212</v>
      </c>
      <c r="G42" s="1" t="s">
        <v>245</v>
      </c>
      <c r="H42" s="38" t="s">
        <v>166</v>
      </c>
      <c r="I42" s="1" t="s">
        <v>257</v>
      </c>
      <c r="K42" s="51" t="s">
        <v>53</v>
      </c>
      <c r="L42" s="2">
        <v>1</v>
      </c>
      <c r="M42" s="61"/>
      <c r="N42" s="61"/>
      <c r="O42" s="11"/>
      <c r="P42" s="2"/>
    </row>
    <row r="43" spans="1:17" ht="14.5" x14ac:dyDescent="0.3">
      <c r="A43" s="81"/>
      <c r="B43" s="18" t="s">
        <v>85</v>
      </c>
      <c r="C43" s="3" t="s">
        <v>313</v>
      </c>
      <c r="D43" s="32" t="s">
        <v>125</v>
      </c>
      <c r="E43" s="10" t="s">
        <v>37</v>
      </c>
      <c r="F43" s="41" t="s">
        <v>175</v>
      </c>
      <c r="G43" s="1" t="s">
        <v>245</v>
      </c>
      <c r="H43" s="10" t="s">
        <v>39</v>
      </c>
      <c r="I43" s="1" t="s">
        <v>314</v>
      </c>
      <c r="K43" s="60" t="s">
        <v>232</v>
      </c>
      <c r="L43" s="2">
        <v>1</v>
      </c>
      <c r="M43" s="61"/>
      <c r="N43" s="61"/>
      <c r="O43" s="61"/>
      <c r="P43" s="61"/>
    </row>
    <row r="44" spans="1:17" ht="14.5" x14ac:dyDescent="0.3">
      <c r="A44" s="81"/>
      <c r="B44" s="18" t="s">
        <v>86</v>
      </c>
      <c r="C44" s="3" t="s">
        <v>215</v>
      </c>
      <c r="D44" s="37" t="s">
        <v>163</v>
      </c>
      <c r="E44" s="38" t="s">
        <v>164</v>
      </c>
      <c r="F44" s="39" t="s">
        <v>165</v>
      </c>
      <c r="G44" s="1" t="s">
        <v>247</v>
      </c>
      <c r="H44" s="38" t="s">
        <v>166</v>
      </c>
      <c r="I44" s="1" t="s">
        <v>189</v>
      </c>
      <c r="K44" s="68" t="s">
        <v>233</v>
      </c>
      <c r="L44" s="2">
        <v>1</v>
      </c>
      <c r="M44" s="61"/>
      <c r="N44" s="61"/>
      <c r="O44" s="61"/>
      <c r="P44" s="61"/>
    </row>
    <row r="45" spans="1:17" ht="14.5" x14ac:dyDescent="0.3">
      <c r="A45" s="82" t="s">
        <v>87</v>
      </c>
      <c r="B45" s="18" t="s">
        <v>88</v>
      </c>
      <c r="C45" s="3" t="s">
        <v>315</v>
      </c>
      <c r="D45" s="30" t="s">
        <v>120</v>
      </c>
      <c r="E45" s="38" t="s">
        <v>216</v>
      </c>
      <c r="F45" s="47" t="s">
        <v>212</v>
      </c>
      <c r="G45" s="1" t="s">
        <v>245</v>
      </c>
      <c r="H45" s="38" t="s">
        <v>166</v>
      </c>
      <c r="I45" s="1" t="s">
        <v>314</v>
      </c>
      <c r="K45" s="75" t="s">
        <v>261</v>
      </c>
      <c r="L45" s="2">
        <v>1</v>
      </c>
    </row>
    <row r="46" spans="1:17" ht="14.5" x14ac:dyDescent="0.3">
      <c r="A46" s="81"/>
      <c r="B46" s="18" t="s">
        <v>89</v>
      </c>
      <c r="C46" s="3" t="s">
        <v>288</v>
      </c>
      <c r="D46" s="28" t="s">
        <v>123</v>
      </c>
      <c r="E46" s="42" t="s">
        <v>268</v>
      </c>
      <c r="F46" s="45" t="s">
        <v>206</v>
      </c>
      <c r="G46" s="1" t="s">
        <v>245</v>
      </c>
      <c r="H46" s="42" t="s">
        <v>185</v>
      </c>
      <c r="I46" s="1" t="s">
        <v>281</v>
      </c>
    </row>
    <row r="47" spans="1:17" ht="14.5" x14ac:dyDescent="0.3">
      <c r="A47" s="82" t="s">
        <v>90</v>
      </c>
      <c r="B47" s="18" t="s">
        <v>91</v>
      </c>
      <c r="C47" s="3" t="s">
        <v>258</v>
      </c>
      <c r="D47" s="28" t="s">
        <v>123</v>
      </c>
      <c r="E47" s="10" t="s">
        <v>37</v>
      </c>
      <c r="F47" s="41" t="s">
        <v>175</v>
      </c>
      <c r="G47" s="1" t="s">
        <v>246</v>
      </c>
      <c r="H47" s="10" t="s">
        <v>39</v>
      </c>
      <c r="I47" s="1" t="s">
        <v>257</v>
      </c>
    </row>
    <row r="48" spans="1:17" ht="14.5" x14ac:dyDescent="0.3">
      <c r="A48" s="81"/>
      <c r="B48" s="18" t="s">
        <v>92</v>
      </c>
      <c r="C48" s="3" t="s">
        <v>217</v>
      </c>
      <c r="D48" s="28" t="s">
        <v>123</v>
      </c>
      <c r="E48" s="40" t="s">
        <v>173</v>
      </c>
      <c r="F48" s="24" t="s">
        <v>78</v>
      </c>
      <c r="G48" s="1" t="s">
        <v>248</v>
      </c>
      <c r="H48" s="40" t="s">
        <v>174</v>
      </c>
      <c r="I48" s="1" t="s">
        <v>183</v>
      </c>
    </row>
  </sheetData>
  <sortState xmlns:xlrd2="http://schemas.microsoft.com/office/spreadsheetml/2017/richdata2" ref="K30:L45">
    <sortCondition descending="1" ref="L29:L45"/>
  </sortState>
  <mergeCells count="14">
    <mergeCell ref="O28:P28"/>
    <mergeCell ref="N1:P1"/>
    <mergeCell ref="N15:N24"/>
    <mergeCell ref="A47:A48"/>
    <mergeCell ref="A4:A20"/>
    <mergeCell ref="K1:M1"/>
    <mergeCell ref="K28:L28"/>
    <mergeCell ref="M28:N28"/>
    <mergeCell ref="A1:I1"/>
    <mergeCell ref="A2:I2"/>
    <mergeCell ref="A21:A35"/>
    <mergeCell ref="A36:A44"/>
    <mergeCell ref="A45:A46"/>
    <mergeCell ref="N3:N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25B5-D535-4F73-A6DB-F45F801BEA68}">
  <dimension ref="A1:K59"/>
  <sheetViews>
    <sheetView topLeftCell="A37" zoomScale="150" zoomScaleNormal="150" workbookViewId="0">
      <selection activeCell="G32" sqref="G32:J59"/>
    </sheetView>
  </sheetViews>
  <sheetFormatPr defaultRowHeight="14" x14ac:dyDescent="0.3"/>
  <cols>
    <col min="8" max="8" width="14" customWidth="1"/>
  </cols>
  <sheetData>
    <row r="1" spans="1:11" x14ac:dyDescent="0.3">
      <c r="A1" s="79" t="s">
        <v>138</v>
      </c>
      <c r="B1" s="90"/>
      <c r="C1" s="90"/>
      <c r="D1" s="90"/>
      <c r="E1" s="80"/>
      <c r="F1" s="25"/>
      <c r="G1" s="95" t="s">
        <v>252</v>
      </c>
      <c r="H1" s="90"/>
      <c r="I1" s="90"/>
      <c r="J1" s="90"/>
      <c r="K1" s="80"/>
    </row>
    <row r="2" spans="1:11" x14ac:dyDescent="0.3">
      <c r="A2" s="96" t="s">
        <v>319</v>
      </c>
      <c r="B2" s="90"/>
      <c r="C2" s="90"/>
      <c r="D2" s="90"/>
      <c r="E2" s="80"/>
      <c r="F2" s="25"/>
      <c r="G2" s="81" t="s">
        <v>319</v>
      </c>
      <c r="H2" s="81"/>
      <c r="I2" s="81"/>
      <c r="J2" s="81"/>
      <c r="K2" s="81"/>
    </row>
    <row r="3" spans="1:11" ht="14.5" x14ac:dyDescent="0.3">
      <c r="A3" s="1" t="s">
        <v>101</v>
      </c>
      <c r="B3" s="1" t="s">
        <v>117</v>
      </c>
      <c r="C3" s="1" t="s">
        <v>135</v>
      </c>
      <c r="D3" s="1" t="s">
        <v>103</v>
      </c>
      <c r="E3" s="71" t="s">
        <v>254</v>
      </c>
      <c r="F3" s="25"/>
      <c r="G3" s="2" t="s">
        <v>101</v>
      </c>
      <c r="H3" s="2" t="s">
        <v>19</v>
      </c>
      <c r="I3" s="2" t="s">
        <v>114</v>
      </c>
      <c r="J3" s="2" t="s">
        <v>130</v>
      </c>
      <c r="K3" s="2" t="s">
        <v>131</v>
      </c>
    </row>
    <row r="4" spans="1:11" x14ac:dyDescent="0.3">
      <c r="A4" s="1">
        <v>1</v>
      </c>
      <c r="B4" s="30" t="s">
        <v>121</v>
      </c>
      <c r="C4" s="1">
        <v>123</v>
      </c>
      <c r="D4" s="1">
        <v>76</v>
      </c>
      <c r="E4" s="35">
        <f t="shared" ref="E4:E11" si="0">D4/C4</f>
        <v>0.61788617886178865</v>
      </c>
      <c r="F4" s="25"/>
      <c r="G4" s="2">
        <v>1</v>
      </c>
      <c r="H4" s="28" t="s">
        <v>139</v>
      </c>
      <c r="I4" s="2">
        <v>125</v>
      </c>
      <c r="J4" s="2">
        <v>46</v>
      </c>
      <c r="K4" s="27">
        <f t="shared" ref="K4:K28" si="1">J4/I4</f>
        <v>0.36799999999999999</v>
      </c>
    </row>
    <row r="5" spans="1:11" x14ac:dyDescent="0.3">
      <c r="A5" s="1">
        <v>2</v>
      </c>
      <c r="B5" s="2" t="s">
        <v>8</v>
      </c>
      <c r="C5" s="1">
        <v>114</v>
      </c>
      <c r="D5" s="1">
        <v>66</v>
      </c>
      <c r="E5" s="35">
        <f t="shared" si="0"/>
        <v>0.57894736842105265</v>
      </c>
      <c r="F5" s="25"/>
      <c r="G5" s="2">
        <v>2</v>
      </c>
      <c r="H5" s="30" t="s">
        <v>142</v>
      </c>
      <c r="I5" s="2">
        <v>123</v>
      </c>
      <c r="J5" s="2">
        <v>42</v>
      </c>
      <c r="K5" s="27">
        <f t="shared" si="1"/>
        <v>0.34146341463414637</v>
      </c>
    </row>
    <row r="6" spans="1:11" x14ac:dyDescent="0.3">
      <c r="A6" s="1">
        <v>3</v>
      </c>
      <c r="B6" s="28" t="s">
        <v>6</v>
      </c>
      <c r="C6" s="1">
        <v>125</v>
      </c>
      <c r="D6" s="1">
        <v>70</v>
      </c>
      <c r="E6" s="35">
        <f t="shared" si="0"/>
        <v>0.56000000000000005</v>
      </c>
      <c r="F6" s="25"/>
      <c r="G6" s="2">
        <v>3</v>
      </c>
      <c r="H6" s="29" t="s">
        <v>141</v>
      </c>
      <c r="I6" s="2">
        <v>127</v>
      </c>
      <c r="J6" s="2">
        <v>38</v>
      </c>
      <c r="K6" s="27">
        <f t="shared" si="1"/>
        <v>0.29921259842519687</v>
      </c>
    </row>
    <row r="7" spans="1:11" x14ac:dyDescent="0.3">
      <c r="A7" s="1">
        <v>4</v>
      </c>
      <c r="B7" s="31" t="s">
        <v>5</v>
      </c>
      <c r="C7" s="1">
        <v>124</v>
      </c>
      <c r="D7" s="1">
        <v>64</v>
      </c>
      <c r="E7" s="35">
        <f t="shared" si="0"/>
        <v>0.5161290322580645</v>
      </c>
      <c r="F7" s="25"/>
      <c r="G7" s="2">
        <v>4</v>
      </c>
      <c r="H7" s="32" t="s">
        <v>140</v>
      </c>
      <c r="I7" s="2">
        <v>112</v>
      </c>
      <c r="J7" s="2">
        <v>32</v>
      </c>
      <c r="K7" s="27">
        <f t="shared" si="1"/>
        <v>0.2857142857142857</v>
      </c>
    </row>
    <row r="8" spans="1:11" x14ac:dyDescent="0.3">
      <c r="A8" s="1">
        <v>5</v>
      </c>
      <c r="B8" s="29" t="s">
        <v>7</v>
      </c>
      <c r="C8" s="1">
        <v>127</v>
      </c>
      <c r="D8" s="1">
        <v>65</v>
      </c>
      <c r="E8" s="35">
        <f t="shared" si="0"/>
        <v>0.51181102362204722</v>
      </c>
      <c r="F8" s="25"/>
      <c r="G8" s="2">
        <v>5</v>
      </c>
      <c r="H8" s="31" t="s">
        <v>147</v>
      </c>
      <c r="I8" s="2">
        <v>124</v>
      </c>
      <c r="J8" s="2">
        <v>35</v>
      </c>
      <c r="K8" s="27">
        <f t="shared" si="1"/>
        <v>0.28225806451612906</v>
      </c>
    </row>
    <row r="9" spans="1:11" x14ac:dyDescent="0.3">
      <c r="A9" s="1">
        <v>6</v>
      </c>
      <c r="B9" s="26" t="s">
        <v>9</v>
      </c>
      <c r="C9" s="1">
        <v>116</v>
      </c>
      <c r="D9" s="1">
        <v>54</v>
      </c>
      <c r="E9" s="35">
        <f t="shared" si="0"/>
        <v>0.46551724137931033</v>
      </c>
      <c r="G9" s="2">
        <v>6</v>
      </c>
      <c r="H9" s="2" t="s">
        <v>15</v>
      </c>
      <c r="I9" s="2">
        <v>114</v>
      </c>
      <c r="J9" s="2">
        <v>29</v>
      </c>
      <c r="K9" s="27">
        <f t="shared" si="1"/>
        <v>0.25438596491228072</v>
      </c>
    </row>
    <row r="10" spans="1:11" x14ac:dyDescent="0.3">
      <c r="A10" s="1">
        <v>7</v>
      </c>
      <c r="B10" s="32" t="s">
        <v>10</v>
      </c>
      <c r="C10" s="1">
        <v>112</v>
      </c>
      <c r="D10" s="1">
        <v>52</v>
      </c>
      <c r="E10" s="35">
        <f t="shared" si="0"/>
        <v>0.4642857142857143</v>
      </c>
      <c r="F10" s="25"/>
      <c r="G10" s="2">
        <v>7</v>
      </c>
      <c r="H10" s="26" t="s">
        <v>143</v>
      </c>
      <c r="I10" s="2">
        <v>116</v>
      </c>
      <c r="J10" s="2">
        <v>29</v>
      </c>
      <c r="K10" s="27">
        <f t="shared" si="1"/>
        <v>0.25</v>
      </c>
    </row>
    <row r="11" spans="1:11" x14ac:dyDescent="0.3">
      <c r="A11" s="1">
        <v>8</v>
      </c>
      <c r="B11" s="28" t="s">
        <v>11</v>
      </c>
      <c r="C11" s="1">
        <v>87</v>
      </c>
      <c r="D11" s="1">
        <v>17</v>
      </c>
      <c r="E11" s="35">
        <f t="shared" si="0"/>
        <v>0.19540229885057472</v>
      </c>
      <c r="F11" s="25"/>
      <c r="G11" s="2">
        <v>8</v>
      </c>
      <c r="H11" s="2" t="s">
        <v>144</v>
      </c>
      <c r="I11" s="2">
        <v>114</v>
      </c>
      <c r="J11" s="2">
        <v>24</v>
      </c>
      <c r="K11" s="27">
        <f t="shared" si="1"/>
        <v>0.21052631578947367</v>
      </c>
    </row>
    <row r="12" spans="1:11" x14ac:dyDescent="0.3">
      <c r="A12" s="25"/>
      <c r="B12" s="25"/>
      <c r="C12" s="25"/>
      <c r="D12" s="25"/>
      <c r="E12" s="25"/>
      <c r="F12" s="25"/>
      <c r="G12" s="2">
        <v>9</v>
      </c>
      <c r="H12" s="30" t="s">
        <v>150</v>
      </c>
      <c r="I12" s="2">
        <v>123</v>
      </c>
      <c r="J12" s="2">
        <v>19</v>
      </c>
      <c r="K12" s="27">
        <f t="shared" si="1"/>
        <v>0.15447154471544716</v>
      </c>
    </row>
    <row r="13" spans="1:11" x14ac:dyDescent="0.3">
      <c r="A13" s="95" t="s">
        <v>249</v>
      </c>
      <c r="B13" s="90"/>
      <c r="C13" s="90"/>
      <c r="D13" s="90"/>
      <c r="E13" s="80"/>
      <c r="F13" s="25"/>
      <c r="G13" s="2">
        <v>10</v>
      </c>
      <c r="H13" s="31" t="s">
        <v>146</v>
      </c>
      <c r="I13" s="2">
        <v>124</v>
      </c>
      <c r="J13" s="2">
        <v>18</v>
      </c>
      <c r="K13" s="27">
        <f t="shared" si="1"/>
        <v>0.14516129032258066</v>
      </c>
    </row>
    <row r="14" spans="1:11" x14ac:dyDescent="0.3">
      <c r="A14" s="90" t="s">
        <v>319</v>
      </c>
      <c r="B14" s="90"/>
      <c r="C14" s="90"/>
      <c r="D14" s="90"/>
      <c r="E14" s="80"/>
      <c r="F14" s="25"/>
      <c r="G14" s="2">
        <v>11</v>
      </c>
      <c r="H14" s="28" t="s">
        <v>148</v>
      </c>
      <c r="I14" s="2">
        <v>125</v>
      </c>
      <c r="J14" s="2">
        <v>18</v>
      </c>
      <c r="K14" s="27">
        <f t="shared" si="1"/>
        <v>0.14399999999999999</v>
      </c>
    </row>
    <row r="15" spans="1:11" ht="14.5" x14ac:dyDescent="0.3">
      <c r="A15" s="1" t="s">
        <v>101</v>
      </c>
      <c r="B15" s="1" t="s">
        <v>117</v>
      </c>
      <c r="C15" s="1" t="s">
        <v>132</v>
      </c>
      <c r="D15" s="1" t="s">
        <v>103</v>
      </c>
      <c r="E15" s="1" t="s">
        <v>104</v>
      </c>
      <c r="F15" s="25"/>
      <c r="G15" s="2">
        <v>12</v>
      </c>
      <c r="H15" s="30" t="s">
        <v>149</v>
      </c>
      <c r="I15" s="2">
        <v>123</v>
      </c>
      <c r="J15" s="2">
        <v>15</v>
      </c>
      <c r="K15" s="27">
        <f t="shared" si="1"/>
        <v>0.12195121951219512</v>
      </c>
    </row>
    <row r="16" spans="1:11" x14ac:dyDescent="0.3">
      <c r="A16" s="1">
        <v>1</v>
      </c>
      <c r="B16" s="30" t="s">
        <v>121</v>
      </c>
      <c r="C16" s="1">
        <v>17</v>
      </c>
      <c r="D16" s="1">
        <v>12</v>
      </c>
      <c r="E16" s="35">
        <f t="shared" ref="E16:E23" si="2">D16/C16</f>
        <v>0.70588235294117652</v>
      </c>
      <c r="F16" s="25"/>
      <c r="G16" s="2">
        <v>13</v>
      </c>
      <c r="H16" s="26" t="s">
        <v>151</v>
      </c>
      <c r="I16" s="2">
        <v>116</v>
      </c>
      <c r="J16" s="2">
        <v>14</v>
      </c>
      <c r="K16" s="27">
        <f t="shared" si="1"/>
        <v>0.1206896551724138</v>
      </c>
    </row>
    <row r="17" spans="1:11" x14ac:dyDescent="0.3">
      <c r="A17" s="1">
        <v>2</v>
      </c>
      <c r="B17" s="2" t="s">
        <v>8</v>
      </c>
      <c r="C17" s="1">
        <v>16</v>
      </c>
      <c r="D17" s="1">
        <v>11</v>
      </c>
      <c r="E17" s="35">
        <f t="shared" si="2"/>
        <v>0.6875</v>
      </c>
      <c r="F17" s="25"/>
      <c r="G17" s="2">
        <v>14</v>
      </c>
      <c r="H17" s="28" t="s">
        <v>154</v>
      </c>
      <c r="I17" s="2">
        <v>87</v>
      </c>
      <c r="J17" s="2">
        <v>10</v>
      </c>
      <c r="K17" s="27">
        <f t="shared" si="1"/>
        <v>0.11494252873563218</v>
      </c>
    </row>
    <row r="18" spans="1:11" x14ac:dyDescent="0.3">
      <c r="A18" s="1">
        <v>3</v>
      </c>
      <c r="B18" s="28" t="s">
        <v>6</v>
      </c>
      <c r="C18" s="1">
        <v>16</v>
      </c>
      <c r="D18" s="1">
        <v>10</v>
      </c>
      <c r="E18" s="35">
        <f t="shared" si="2"/>
        <v>0.625</v>
      </c>
      <c r="F18" s="25"/>
      <c r="G18" s="2">
        <v>15</v>
      </c>
      <c r="H18" s="2" t="s">
        <v>155</v>
      </c>
      <c r="I18" s="2">
        <v>114</v>
      </c>
      <c r="J18" s="2">
        <v>13</v>
      </c>
      <c r="K18" s="27">
        <f t="shared" si="1"/>
        <v>0.11403508771929824</v>
      </c>
    </row>
    <row r="19" spans="1:11" x14ac:dyDescent="0.3">
      <c r="A19" s="1">
        <v>4</v>
      </c>
      <c r="B19" s="29" t="s">
        <v>7</v>
      </c>
      <c r="C19" s="1">
        <v>16</v>
      </c>
      <c r="D19" s="1">
        <v>9</v>
      </c>
      <c r="E19" s="35">
        <f t="shared" si="2"/>
        <v>0.5625</v>
      </c>
      <c r="F19" s="25"/>
      <c r="G19" s="2">
        <v>16</v>
      </c>
      <c r="H19" s="29" t="s">
        <v>14</v>
      </c>
      <c r="I19" s="2">
        <v>127</v>
      </c>
      <c r="J19" s="2">
        <v>14</v>
      </c>
      <c r="K19" s="27">
        <f t="shared" si="1"/>
        <v>0.11023622047244094</v>
      </c>
    </row>
    <row r="20" spans="1:11" x14ac:dyDescent="0.3">
      <c r="A20" s="1">
        <v>5</v>
      </c>
      <c r="B20" s="31" t="s">
        <v>5</v>
      </c>
      <c r="C20" s="1">
        <v>17</v>
      </c>
      <c r="D20" s="1">
        <v>9</v>
      </c>
      <c r="E20" s="35">
        <f t="shared" si="2"/>
        <v>0.52941176470588236</v>
      </c>
      <c r="F20" s="25"/>
      <c r="G20" s="2">
        <v>17</v>
      </c>
      <c r="H20" s="32" t="s">
        <v>153</v>
      </c>
      <c r="I20" s="2">
        <v>112</v>
      </c>
      <c r="J20" s="2">
        <v>12</v>
      </c>
      <c r="K20" s="27">
        <f t="shared" si="1"/>
        <v>0.10714285714285714</v>
      </c>
    </row>
    <row r="21" spans="1:11" x14ac:dyDescent="0.3">
      <c r="A21" s="1">
        <v>6</v>
      </c>
      <c r="B21" s="32" t="s">
        <v>10</v>
      </c>
      <c r="C21" s="1">
        <v>15</v>
      </c>
      <c r="D21" s="1">
        <v>7</v>
      </c>
      <c r="E21" s="35">
        <f t="shared" si="2"/>
        <v>0.46666666666666667</v>
      </c>
      <c r="F21" s="25"/>
      <c r="G21" s="2">
        <v>18</v>
      </c>
      <c r="H21" s="29" t="s">
        <v>156</v>
      </c>
      <c r="I21" s="2">
        <v>127</v>
      </c>
      <c r="J21" s="2">
        <v>13</v>
      </c>
      <c r="K21" s="27">
        <f t="shared" si="1"/>
        <v>0.10236220472440945</v>
      </c>
    </row>
    <row r="22" spans="1:11" x14ac:dyDescent="0.3">
      <c r="A22" s="1">
        <v>7</v>
      </c>
      <c r="B22" s="26" t="s">
        <v>9</v>
      </c>
      <c r="C22" s="1">
        <v>15</v>
      </c>
      <c r="D22" s="1">
        <v>5</v>
      </c>
      <c r="E22" s="35">
        <f t="shared" si="2"/>
        <v>0.33333333333333331</v>
      </c>
      <c r="F22" s="25"/>
      <c r="G22" s="2">
        <v>19</v>
      </c>
      <c r="H22" s="31" t="s">
        <v>145</v>
      </c>
      <c r="I22" s="2">
        <v>124</v>
      </c>
      <c r="J22" s="2">
        <v>11</v>
      </c>
      <c r="K22" s="27">
        <f t="shared" si="1"/>
        <v>8.8709677419354843E-2</v>
      </c>
    </row>
    <row r="23" spans="1:11" x14ac:dyDescent="0.3">
      <c r="A23" s="1">
        <v>8</v>
      </c>
      <c r="B23" s="28" t="s">
        <v>11</v>
      </c>
      <c r="C23" s="1">
        <v>14</v>
      </c>
      <c r="D23" s="1">
        <v>0</v>
      </c>
      <c r="E23" s="35">
        <f t="shared" si="2"/>
        <v>0</v>
      </c>
      <c r="F23" s="25"/>
      <c r="G23" s="2">
        <v>20</v>
      </c>
      <c r="H23" s="26" t="s">
        <v>152</v>
      </c>
      <c r="I23" s="2">
        <v>110</v>
      </c>
      <c r="J23" s="2">
        <v>9</v>
      </c>
      <c r="K23" s="27">
        <f t="shared" si="1"/>
        <v>8.1818181818181818E-2</v>
      </c>
    </row>
    <row r="24" spans="1:11" x14ac:dyDescent="0.3">
      <c r="A24" s="25"/>
      <c r="B24" s="25"/>
      <c r="C24" s="25"/>
      <c r="D24" s="25"/>
      <c r="E24" s="25"/>
      <c r="F24" s="25"/>
      <c r="G24" s="2">
        <v>21</v>
      </c>
      <c r="H24" s="32" t="s">
        <v>161</v>
      </c>
      <c r="I24" s="2">
        <v>112</v>
      </c>
      <c r="J24" s="2">
        <v>8</v>
      </c>
      <c r="K24" s="27">
        <f t="shared" si="1"/>
        <v>7.1428571428571425E-2</v>
      </c>
    </row>
    <row r="25" spans="1:11" x14ac:dyDescent="0.3">
      <c r="A25" s="95" t="s">
        <v>250</v>
      </c>
      <c r="B25" s="90"/>
      <c r="C25" s="90"/>
      <c r="D25" s="90"/>
      <c r="E25" s="80"/>
      <c r="F25" s="25"/>
      <c r="G25" s="2">
        <v>22</v>
      </c>
      <c r="H25" s="28" t="s">
        <v>13</v>
      </c>
      <c r="I25" s="2">
        <v>87</v>
      </c>
      <c r="J25" s="2">
        <v>6</v>
      </c>
      <c r="K25" s="27">
        <f t="shared" si="1"/>
        <v>6.8965517241379309E-2</v>
      </c>
    </row>
    <row r="26" spans="1:11" x14ac:dyDescent="0.3">
      <c r="A26" s="90" t="s">
        <v>319</v>
      </c>
      <c r="B26" s="90"/>
      <c r="C26" s="90"/>
      <c r="D26" s="90"/>
      <c r="E26" s="80"/>
      <c r="F26" s="25"/>
      <c r="G26" s="2">
        <v>23</v>
      </c>
      <c r="H26" s="28" t="s">
        <v>158</v>
      </c>
      <c r="I26" s="2">
        <v>125</v>
      </c>
      <c r="J26" s="2">
        <v>6</v>
      </c>
      <c r="K26" s="27">
        <f t="shared" si="1"/>
        <v>4.8000000000000001E-2</v>
      </c>
    </row>
    <row r="27" spans="1:11" ht="14.5" x14ac:dyDescent="0.3">
      <c r="A27" s="1" t="s">
        <v>101</v>
      </c>
      <c r="B27" s="1" t="s">
        <v>117</v>
      </c>
      <c r="C27" s="1" t="s">
        <v>132</v>
      </c>
      <c r="D27" s="1" t="s">
        <v>159</v>
      </c>
      <c r="E27" s="1" t="s">
        <v>160</v>
      </c>
      <c r="F27" s="25"/>
      <c r="G27" s="2">
        <v>24</v>
      </c>
      <c r="H27" s="28" t="s">
        <v>157</v>
      </c>
      <c r="I27" s="2">
        <v>87</v>
      </c>
      <c r="J27" s="2">
        <v>1</v>
      </c>
      <c r="K27" s="27">
        <f t="shared" si="1"/>
        <v>1.1494252873563218E-2</v>
      </c>
    </row>
    <row r="28" spans="1:11" x14ac:dyDescent="0.3">
      <c r="A28" s="1">
        <v>1</v>
      </c>
      <c r="B28" s="30" t="s">
        <v>121</v>
      </c>
      <c r="C28" s="1">
        <v>17</v>
      </c>
      <c r="D28" s="1">
        <v>29</v>
      </c>
      <c r="E28" s="36">
        <f t="shared" ref="E28:E35" si="3">D28/C28</f>
        <v>1.7058823529411764</v>
      </c>
      <c r="F28" s="25"/>
      <c r="G28" s="2">
        <v>25</v>
      </c>
      <c r="H28" s="26" t="s">
        <v>267</v>
      </c>
      <c r="I28" s="2">
        <v>6</v>
      </c>
      <c r="J28" s="2">
        <v>0</v>
      </c>
      <c r="K28" s="27">
        <f t="shared" si="1"/>
        <v>0</v>
      </c>
    </row>
    <row r="29" spans="1:11" x14ac:dyDescent="0.3">
      <c r="A29" s="1">
        <v>2</v>
      </c>
      <c r="B29" s="2" t="s">
        <v>8</v>
      </c>
      <c r="C29" s="1">
        <v>16</v>
      </c>
      <c r="D29" s="1">
        <v>18</v>
      </c>
      <c r="E29" s="36">
        <f t="shared" si="3"/>
        <v>1.125</v>
      </c>
      <c r="F29" s="25"/>
      <c r="K29" s="25"/>
    </row>
    <row r="30" spans="1:11" x14ac:dyDescent="0.3">
      <c r="A30" s="1">
        <v>3</v>
      </c>
      <c r="B30" s="28" t="s">
        <v>6</v>
      </c>
      <c r="C30" s="1">
        <v>16</v>
      </c>
      <c r="D30" s="1">
        <v>15</v>
      </c>
      <c r="E30" s="36">
        <f t="shared" si="3"/>
        <v>0.9375</v>
      </c>
      <c r="F30" s="25"/>
      <c r="K30" s="25"/>
    </row>
    <row r="31" spans="1:11" x14ac:dyDescent="0.3">
      <c r="A31" s="1">
        <v>4</v>
      </c>
      <c r="B31" s="29" t="s">
        <v>7</v>
      </c>
      <c r="C31" s="1">
        <v>16</v>
      </c>
      <c r="D31" s="1">
        <v>4</v>
      </c>
      <c r="E31" s="36">
        <f t="shared" si="3"/>
        <v>0.25</v>
      </c>
      <c r="F31" s="25"/>
      <c r="K31" s="25"/>
    </row>
    <row r="32" spans="1:11" x14ac:dyDescent="0.3">
      <c r="A32" s="1">
        <v>5</v>
      </c>
      <c r="B32" s="31" t="s">
        <v>5</v>
      </c>
      <c r="C32" s="1">
        <v>17</v>
      </c>
      <c r="D32" s="1">
        <v>4</v>
      </c>
      <c r="E32" s="36">
        <f t="shared" si="3"/>
        <v>0.23529411764705882</v>
      </c>
      <c r="F32" s="25"/>
      <c r="G32" s="79" t="s">
        <v>162</v>
      </c>
      <c r="H32" s="90"/>
      <c r="I32" s="90"/>
      <c r="J32" s="80"/>
      <c r="K32" s="25"/>
    </row>
    <row r="33" spans="1:11" x14ac:dyDescent="0.3">
      <c r="A33" s="1">
        <v>6</v>
      </c>
      <c r="B33" s="32" t="s">
        <v>10</v>
      </c>
      <c r="C33" s="1">
        <v>15</v>
      </c>
      <c r="D33" s="1">
        <v>-8</v>
      </c>
      <c r="E33" s="36">
        <f t="shared" si="3"/>
        <v>-0.53333333333333333</v>
      </c>
      <c r="F33" s="25"/>
      <c r="G33" s="79" t="s">
        <v>319</v>
      </c>
      <c r="H33" s="90"/>
      <c r="I33" s="90"/>
      <c r="J33" s="80"/>
      <c r="K33" s="25"/>
    </row>
    <row r="34" spans="1:11" x14ac:dyDescent="0.3">
      <c r="A34" s="1">
        <v>7</v>
      </c>
      <c r="B34" s="26" t="s">
        <v>9</v>
      </c>
      <c r="C34" s="1">
        <v>15</v>
      </c>
      <c r="D34" s="1">
        <v>-8</v>
      </c>
      <c r="E34" s="36">
        <f t="shared" si="3"/>
        <v>-0.53333333333333333</v>
      </c>
      <c r="F34" s="25"/>
      <c r="G34" s="2" t="s">
        <v>101</v>
      </c>
      <c r="H34" s="2" t="s">
        <v>19</v>
      </c>
      <c r="I34" s="2" t="s">
        <v>132</v>
      </c>
      <c r="J34" s="2" t="s">
        <v>119</v>
      </c>
      <c r="K34" s="25"/>
    </row>
    <row r="35" spans="1:11" x14ac:dyDescent="0.3">
      <c r="A35" s="1">
        <v>8</v>
      </c>
      <c r="B35" s="28" t="s">
        <v>11</v>
      </c>
      <c r="C35" s="1">
        <v>14</v>
      </c>
      <c r="D35" s="1">
        <v>-53</v>
      </c>
      <c r="E35" s="36">
        <f t="shared" si="3"/>
        <v>-3.7857142857142856</v>
      </c>
      <c r="F35" s="25"/>
      <c r="G35" s="2">
        <v>1</v>
      </c>
      <c r="H35" s="28" t="s">
        <v>139</v>
      </c>
      <c r="I35" s="2">
        <v>16</v>
      </c>
      <c r="J35" s="2">
        <v>5</v>
      </c>
      <c r="K35" s="25"/>
    </row>
    <row r="36" spans="1:11" x14ac:dyDescent="0.3">
      <c r="A36" s="25"/>
      <c r="B36" s="25"/>
      <c r="C36" s="25"/>
      <c r="D36" s="25"/>
      <c r="E36" s="25"/>
      <c r="F36" s="25"/>
      <c r="G36" s="2">
        <v>2</v>
      </c>
      <c r="H36" s="2" t="s">
        <v>155</v>
      </c>
      <c r="I36" s="2">
        <v>16</v>
      </c>
      <c r="J36" s="2">
        <v>5</v>
      </c>
      <c r="K36" s="25"/>
    </row>
    <row r="37" spans="1:11" x14ac:dyDescent="0.3">
      <c r="A37" s="25"/>
      <c r="B37" s="25"/>
      <c r="C37" s="25"/>
      <c r="D37" s="25"/>
      <c r="E37" s="25"/>
      <c r="F37" s="25"/>
      <c r="G37" s="2">
        <v>3</v>
      </c>
      <c r="H37" s="29" t="s">
        <v>141</v>
      </c>
      <c r="I37" s="2">
        <v>16</v>
      </c>
      <c r="J37" s="2">
        <v>5</v>
      </c>
      <c r="K37" s="25"/>
    </row>
    <row r="38" spans="1:11" x14ac:dyDescent="0.3">
      <c r="A38" s="25"/>
      <c r="B38" s="25"/>
      <c r="C38" s="25"/>
      <c r="D38" s="25"/>
      <c r="E38" s="25"/>
      <c r="F38" s="25"/>
      <c r="G38" s="2">
        <v>4</v>
      </c>
      <c r="H38" s="30" t="s">
        <v>150</v>
      </c>
      <c r="I38" s="2">
        <v>17</v>
      </c>
      <c r="J38" s="2">
        <v>5</v>
      </c>
      <c r="K38" s="25"/>
    </row>
    <row r="39" spans="1:11" x14ac:dyDescent="0.3">
      <c r="A39" s="25"/>
      <c r="B39" s="25"/>
      <c r="C39" s="25"/>
      <c r="D39" s="25"/>
      <c r="E39" s="25"/>
      <c r="F39" s="25"/>
      <c r="G39" s="2">
        <v>5</v>
      </c>
      <c r="H39" s="30" t="s">
        <v>142</v>
      </c>
      <c r="I39" s="2">
        <v>17</v>
      </c>
      <c r="J39" s="2">
        <v>5</v>
      </c>
      <c r="K39" s="25"/>
    </row>
    <row r="40" spans="1:11" x14ac:dyDescent="0.3">
      <c r="A40" s="25"/>
      <c r="B40" s="25"/>
      <c r="C40" s="25"/>
      <c r="D40" s="25"/>
      <c r="E40" s="25"/>
      <c r="F40" s="25"/>
      <c r="G40" s="2">
        <v>6</v>
      </c>
      <c r="H40" s="31" t="s">
        <v>146</v>
      </c>
      <c r="I40" s="2">
        <v>17</v>
      </c>
      <c r="J40" s="2">
        <v>4</v>
      </c>
      <c r="K40" s="25"/>
    </row>
    <row r="41" spans="1:11" x14ac:dyDescent="0.3">
      <c r="A41" s="25"/>
      <c r="B41" s="25"/>
      <c r="C41" s="25"/>
      <c r="D41" s="25"/>
      <c r="E41" s="25"/>
      <c r="F41" s="25"/>
      <c r="G41" s="2">
        <v>7</v>
      </c>
      <c r="H41" s="32" t="s">
        <v>140</v>
      </c>
      <c r="I41" s="2">
        <v>15</v>
      </c>
      <c r="J41" s="2">
        <v>4</v>
      </c>
      <c r="K41" s="25"/>
    </row>
    <row r="42" spans="1:11" x14ac:dyDescent="0.3">
      <c r="A42" s="25"/>
      <c r="B42" s="25"/>
      <c r="C42" s="25"/>
      <c r="D42" s="25"/>
      <c r="E42" s="25"/>
      <c r="F42" s="25"/>
      <c r="G42" s="2">
        <v>8</v>
      </c>
      <c r="H42" s="29" t="s">
        <v>156</v>
      </c>
      <c r="I42" s="2">
        <v>16</v>
      </c>
      <c r="J42" s="2">
        <v>4</v>
      </c>
      <c r="K42" s="25"/>
    </row>
    <row r="43" spans="1:11" x14ac:dyDescent="0.3">
      <c r="A43" s="25"/>
      <c r="B43" s="25"/>
      <c r="C43" s="25"/>
      <c r="D43" s="25"/>
      <c r="E43" s="25"/>
      <c r="F43" s="25"/>
      <c r="G43" s="2">
        <v>9</v>
      </c>
      <c r="H43" s="2" t="s">
        <v>15</v>
      </c>
      <c r="I43" s="2">
        <v>16</v>
      </c>
      <c r="J43" s="2">
        <v>4</v>
      </c>
      <c r="K43" s="25"/>
    </row>
    <row r="44" spans="1:11" x14ac:dyDescent="0.3">
      <c r="A44" s="25"/>
      <c r="B44" s="25"/>
      <c r="C44" s="25"/>
      <c r="D44" s="25"/>
      <c r="E44" s="25"/>
      <c r="F44" s="25"/>
      <c r="G44" s="2">
        <v>10</v>
      </c>
      <c r="H44" s="31" t="s">
        <v>145</v>
      </c>
      <c r="I44" s="2">
        <v>17</v>
      </c>
      <c r="J44" s="2">
        <v>3</v>
      </c>
      <c r="K44" s="25"/>
    </row>
    <row r="45" spans="1:11" x14ac:dyDescent="0.3">
      <c r="A45" s="25"/>
      <c r="B45" s="25"/>
      <c r="C45" s="25"/>
      <c r="D45" s="25"/>
      <c r="E45" s="25"/>
      <c r="F45" s="25"/>
      <c r="G45" s="2">
        <v>11</v>
      </c>
      <c r="H45" s="26" t="s">
        <v>143</v>
      </c>
      <c r="I45" s="2">
        <v>15</v>
      </c>
      <c r="J45" s="2">
        <v>3</v>
      </c>
      <c r="K45" s="25"/>
    </row>
    <row r="46" spans="1:11" x14ac:dyDescent="0.3">
      <c r="A46" s="25"/>
      <c r="B46" s="25"/>
      <c r="C46" s="25"/>
      <c r="D46" s="25"/>
      <c r="E46" s="25"/>
      <c r="F46" s="25"/>
      <c r="G46" s="2">
        <v>12</v>
      </c>
      <c r="H46" s="28" t="s">
        <v>148</v>
      </c>
      <c r="I46" s="2">
        <v>16</v>
      </c>
      <c r="J46" s="2">
        <v>3</v>
      </c>
      <c r="K46" s="25"/>
    </row>
    <row r="47" spans="1:11" x14ac:dyDescent="0.3">
      <c r="A47" s="25"/>
      <c r="B47" s="25"/>
      <c r="C47" s="25"/>
      <c r="D47" s="25"/>
      <c r="E47" s="25"/>
      <c r="F47" s="25"/>
      <c r="G47" s="2">
        <v>13</v>
      </c>
      <c r="H47" s="26" t="s">
        <v>152</v>
      </c>
      <c r="I47" s="2">
        <v>14</v>
      </c>
      <c r="J47" s="2">
        <v>2</v>
      </c>
      <c r="K47" s="25"/>
    </row>
    <row r="48" spans="1:11" x14ac:dyDescent="0.3">
      <c r="A48" s="25"/>
      <c r="B48" s="25"/>
      <c r="C48" s="25"/>
      <c r="D48" s="25"/>
      <c r="E48" s="25"/>
      <c r="F48" s="25"/>
      <c r="G48" s="2">
        <v>14</v>
      </c>
      <c r="H48" s="30" t="s">
        <v>149</v>
      </c>
      <c r="I48" s="2">
        <v>17</v>
      </c>
      <c r="J48" s="2">
        <v>2</v>
      </c>
      <c r="K48" s="25"/>
    </row>
    <row r="49" spans="1:11" x14ac:dyDescent="0.3">
      <c r="A49" s="25"/>
      <c r="B49" s="25"/>
      <c r="C49" s="25"/>
      <c r="D49" s="25"/>
      <c r="E49" s="25"/>
      <c r="F49" s="25"/>
      <c r="G49" s="2">
        <v>15</v>
      </c>
      <c r="H49" s="32" t="s">
        <v>161</v>
      </c>
      <c r="I49" s="2">
        <v>15</v>
      </c>
      <c r="J49" s="2">
        <v>2</v>
      </c>
      <c r="K49" s="25"/>
    </row>
    <row r="50" spans="1:11" x14ac:dyDescent="0.3">
      <c r="A50" s="25"/>
      <c r="B50" s="25"/>
      <c r="C50" s="25"/>
      <c r="D50" s="25"/>
      <c r="E50" s="25"/>
      <c r="F50" s="25"/>
      <c r="G50" s="2">
        <v>16</v>
      </c>
      <c r="H50" s="2" t="s">
        <v>144</v>
      </c>
      <c r="I50" s="2">
        <v>16</v>
      </c>
      <c r="J50" s="2">
        <v>2</v>
      </c>
      <c r="K50" s="25"/>
    </row>
    <row r="51" spans="1:11" x14ac:dyDescent="0.3">
      <c r="A51" s="25"/>
      <c r="B51" s="25"/>
      <c r="C51" s="25"/>
      <c r="D51" s="25"/>
      <c r="E51" s="25"/>
      <c r="F51" s="25"/>
      <c r="G51" s="2">
        <v>17</v>
      </c>
      <c r="H51" s="31" t="s">
        <v>147</v>
      </c>
      <c r="I51" s="2">
        <v>17</v>
      </c>
      <c r="J51" s="2">
        <v>2</v>
      </c>
      <c r="K51" s="25"/>
    </row>
    <row r="52" spans="1:11" x14ac:dyDescent="0.3">
      <c r="A52" s="25"/>
      <c r="B52" s="25"/>
      <c r="C52" s="25"/>
      <c r="D52" s="25"/>
      <c r="E52" s="25"/>
      <c r="F52" s="25"/>
      <c r="G52" s="2">
        <v>18</v>
      </c>
      <c r="H52" s="28" t="s">
        <v>158</v>
      </c>
      <c r="I52" s="2">
        <v>16</v>
      </c>
      <c r="J52" s="2">
        <v>2</v>
      </c>
      <c r="K52" s="25"/>
    </row>
    <row r="53" spans="1:11" x14ac:dyDescent="0.3">
      <c r="A53" s="25"/>
      <c r="B53" s="25"/>
      <c r="C53" s="25"/>
      <c r="D53" s="25"/>
      <c r="E53" s="25"/>
      <c r="F53" s="25"/>
      <c r="G53" s="2">
        <v>19</v>
      </c>
      <c r="H53" s="32" t="s">
        <v>153</v>
      </c>
      <c r="I53" s="2">
        <v>15</v>
      </c>
      <c r="J53" s="2">
        <v>1</v>
      </c>
      <c r="K53" s="25"/>
    </row>
    <row r="54" spans="1:11" x14ac:dyDescent="0.3">
      <c r="A54" s="25"/>
      <c r="B54" s="25"/>
      <c r="C54" s="25"/>
      <c r="D54" s="25"/>
      <c r="E54" s="25"/>
      <c r="F54" s="25"/>
      <c r="G54" s="2">
        <v>20</v>
      </c>
      <c r="H54" s="26" t="s">
        <v>151</v>
      </c>
      <c r="I54" s="2">
        <v>15</v>
      </c>
      <c r="J54" s="2">
        <v>0</v>
      </c>
      <c r="K54" s="25"/>
    </row>
    <row r="55" spans="1:11" x14ac:dyDescent="0.3">
      <c r="A55" s="25"/>
      <c r="B55" s="25"/>
      <c r="C55" s="25"/>
      <c r="D55" s="25"/>
      <c r="E55" s="25"/>
      <c r="F55" s="25"/>
      <c r="G55" s="2">
        <v>21</v>
      </c>
      <c r="H55" s="28" t="s">
        <v>154</v>
      </c>
      <c r="I55" s="2">
        <v>14</v>
      </c>
      <c r="J55" s="2">
        <v>0</v>
      </c>
      <c r="K55" s="25"/>
    </row>
    <row r="56" spans="1:11" x14ac:dyDescent="0.3">
      <c r="G56" s="2">
        <v>22</v>
      </c>
      <c r="H56" s="28" t="s">
        <v>13</v>
      </c>
      <c r="I56" s="2">
        <v>14</v>
      </c>
      <c r="J56" s="2">
        <v>0</v>
      </c>
    </row>
    <row r="57" spans="1:11" x14ac:dyDescent="0.3">
      <c r="G57" s="2">
        <v>23</v>
      </c>
      <c r="H57" s="28" t="s">
        <v>157</v>
      </c>
      <c r="I57" s="2">
        <v>14</v>
      </c>
      <c r="J57" s="2">
        <v>0</v>
      </c>
    </row>
    <row r="58" spans="1:11" x14ac:dyDescent="0.3">
      <c r="G58" s="2">
        <v>24</v>
      </c>
      <c r="H58" s="29" t="s">
        <v>14</v>
      </c>
      <c r="I58" s="2">
        <v>16</v>
      </c>
      <c r="J58" s="2">
        <v>0</v>
      </c>
    </row>
    <row r="59" spans="1:11" x14ac:dyDescent="0.3">
      <c r="G59" s="2">
        <v>25</v>
      </c>
      <c r="H59" s="26" t="s">
        <v>267</v>
      </c>
      <c r="I59" s="2">
        <v>1</v>
      </c>
      <c r="J59" s="2">
        <v>0</v>
      </c>
    </row>
  </sheetData>
  <sortState xmlns:xlrd2="http://schemas.microsoft.com/office/spreadsheetml/2017/richdata2" ref="H4:K28">
    <sortCondition descending="1" ref="K3:K28"/>
  </sortState>
  <mergeCells count="10">
    <mergeCell ref="G1:K1"/>
    <mergeCell ref="G2:K2"/>
    <mergeCell ref="G33:J33"/>
    <mergeCell ref="G32:J32"/>
    <mergeCell ref="A1:E1"/>
    <mergeCell ref="A2:E2"/>
    <mergeCell ref="A13:E13"/>
    <mergeCell ref="A14:E14"/>
    <mergeCell ref="A25:E25"/>
    <mergeCell ref="A26:E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竞速数据</vt:lpstr>
      <vt:lpstr>纪录数据</vt:lpstr>
      <vt:lpstr>道具数据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逆水</dc:creator>
  <cp:lastModifiedBy>王刚 原</cp:lastModifiedBy>
  <dcterms:created xsi:type="dcterms:W3CDTF">2015-06-05T18:19:34Z</dcterms:created>
  <dcterms:modified xsi:type="dcterms:W3CDTF">2026-10-18T03:17:46Z</dcterms:modified>
</cp:coreProperties>
</file>