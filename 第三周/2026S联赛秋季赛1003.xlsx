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AD13BE41-0784-4A5D-9F00-FFD850BF4181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1" l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3" i="1"/>
  <c r="Q69" i="1"/>
  <c r="Q62" i="1"/>
  <c r="Q64" i="1"/>
  <c r="Q68" i="1"/>
  <c r="Q65" i="1"/>
  <c r="Q80" i="1"/>
  <c r="Q79" i="1"/>
  <c r="Q76" i="1"/>
  <c r="Q82" i="1"/>
  <c r="Q75" i="1"/>
  <c r="Q78" i="1"/>
  <c r="Q81" i="1"/>
  <c r="Q77" i="1"/>
  <c r="K80" i="1"/>
  <c r="K82" i="1"/>
  <c r="K79" i="1"/>
  <c r="K77" i="1"/>
  <c r="K78" i="1"/>
  <c r="K75" i="1"/>
  <c r="K76" i="1"/>
  <c r="K81" i="1"/>
  <c r="K67" i="1"/>
  <c r="K69" i="1"/>
  <c r="K64" i="1"/>
  <c r="K63" i="1"/>
  <c r="K68" i="1"/>
  <c r="K66" i="1"/>
  <c r="K62" i="1"/>
  <c r="K65" i="1"/>
  <c r="K7" i="2"/>
  <c r="K6" i="2"/>
  <c r="K9" i="2"/>
  <c r="K10" i="2"/>
  <c r="K5" i="2"/>
  <c r="K8" i="2"/>
  <c r="K11" i="2"/>
  <c r="K12" i="2"/>
  <c r="K14" i="2"/>
  <c r="K13" i="2"/>
  <c r="K16" i="2"/>
  <c r="K20" i="2"/>
  <c r="K21" i="2"/>
  <c r="K15" i="2"/>
  <c r="K17" i="2"/>
  <c r="K23" i="2"/>
  <c r="K19" i="2"/>
  <c r="K22" i="2"/>
  <c r="K18" i="2"/>
  <c r="K26" i="2"/>
  <c r="K25" i="2"/>
  <c r="K24" i="2"/>
  <c r="K27" i="2"/>
  <c r="K28" i="2"/>
  <c r="E5" i="1"/>
  <c r="E53" i="1"/>
  <c r="E32" i="1"/>
  <c r="K4" i="2"/>
  <c r="E35" i="2"/>
  <c r="E33" i="2"/>
  <c r="E34" i="2"/>
  <c r="E31" i="2"/>
  <c r="E32" i="2"/>
  <c r="E30" i="2"/>
  <c r="E28" i="2"/>
  <c r="E29" i="2"/>
  <c r="E23" i="2"/>
  <c r="E21" i="2"/>
  <c r="E22" i="2"/>
  <c r="E19" i="2"/>
  <c r="E20" i="2"/>
  <c r="E18" i="2"/>
  <c r="E16" i="2"/>
  <c r="E17" i="2"/>
  <c r="E8" i="2"/>
  <c r="E4" i="2"/>
  <c r="E7" i="2"/>
  <c r="E6" i="2"/>
  <c r="E10" i="2"/>
  <c r="E9" i="2"/>
  <c r="E11" i="2"/>
  <c r="E5" i="2"/>
  <c r="E88" i="1"/>
  <c r="E87" i="1"/>
  <c r="E86" i="1"/>
  <c r="E85" i="1"/>
  <c r="E81" i="1"/>
  <c r="E82" i="1"/>
  <c r="E79" i="1"/>
  <c r="E84" i="1"/>
  <c r="E83" i="1"/>
  <c r="E80" i="1"/>
  <c r="E67" i="1"/>
  <c r="E64" i="1"/>
  <c r="E62" i="1"/>
  <c r="E65" i="1"/>
  <c r="E63" i="1"/>
  <c r="E68" i="1"/>
  <c r="E69" i="1"/>
  <c r="E70" i="1"/>
  <c r="E71" i="1"/>
  <c r="E72" i="1"/>
  <c r="E73" i="1"/>
  <c r="E74" i="1"/>
  <c r="E66" i="1"/>
  <c r="K51" i="1"/>
  <c r="K56" i="1"/>
  <c r="K55" i="1"/>
  <c r="K52" i="1"/>
  <c r="K54" i="1"/>
  <c r="K50" i="1"/>
  <c r="K53" i="1"/>
  <c r="K49" i="1"/>
  <c r="K44" i="1"/>
  <c r="K40" i="1"/>
  <c r="K42" i="1"/>
  <c r="K39" i="1"/>
  <c r="K43" i="1"/>
  <c r="K41" i="1"/>
  <c r="K38" i="1"/>
  <c r="K37" i="1"/>
  <c r="K21" i="1"/>
  <c r="K18" i="1"/>
  <c r="K19" i="1"/>
  <c r="K20" i="1"/>
  <c r="K17" i="1"/>
  <c r="K16" i="1"/>
  <c r="K22" i="1"/>
  <c r="K23" i="1"/>
  <c r="E41" i="1"/>
  <c r="E43" i="1"/>
  <c r="E38" i="1"/>
  <c r="E47" i="1"/>
  <c r="E40" i="1"/>
  <c r="E51" i="1"/>
  <c r="E48" i="1"/>
  <c r="E42" i="1"/>
  <c r="E49" i="1"/>
  <c r="E50" i="1"/>
  <c r="E46" i="1"/>
  <c r="E44" i="1"/>
  <c r="E45" i="1"/>
  <c r="E39" i="1"/>
  <c r="E52" i="1"/>
  <c r="E37" i="1"/>
  <c r="E20" i="1"/>
  <c r="E30" i="1"/>
  <c r="E21" i="1"/>
  <c r="E31" i="1"/>
  <c r="E28" i="1"/>
  <c r="E17" i="1"/>
  <c r="E26" i="1"/>
  <c r="E24" i="1"/>
  <c r="E16" i="1"/>
  <c r="E18" i="1"/>
  <c r="E25" i="1"/>
  <c r="E27" i="1"/>
  <c r="E19" i="1"/>
  <c r="E23" i="1"/>
  <c r="E22" i="1"/>
  <c r="E29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<sst xmlns="http://schemas.openxmlformats.org/spreadsheetml/2006/main" count="818" uniqueCount="328">
  <si>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</si>
  <si>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</si>
  <si>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</si>
  <si>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</si>
  <si>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</si>
  <si>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</si>
  <si>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</si>
  <si>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</si>
  <si>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</si>
  <si>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</si>
  <si>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</si>
  <si>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</si>
  <si>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</si>
  <si>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</si>
  <si>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</si>
  <si>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</si>
  <si>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</si>
  <si>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</si>
  <si>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</si>
  <si>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</si>
  <si>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</si>
  <si>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</si>
  <si>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</si>
  <si>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</si>
  <si>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</si>
  <si>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</si>
  <si>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</si>
  <si>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</si>
  <si>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</si>
  <si>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</si>
  <si>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</si>
  <si>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</si>
  <si>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</si>
  <si>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</si>
  <si>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</si>
  <si>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</si>
  <si>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</si>
  <si>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</si>
  <si>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</si>
  <si>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</si>
  <si>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</si>
  <si>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</si>
  <si>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</si>
  <si>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</si>
  <si>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</si>
  <si>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</si>
  <si>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</si>
  <si>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</si>
  <si>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</si>
  <si>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</si>
  <si>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</si>
  <si>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</si>
  <si>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</si>
  <si>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</si>
  <si>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</si>
  <si>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</si>
  <si>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</si>
  <si>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</si>
  <si>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</si>
  <si>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</si>
  <si>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</si>
  <si>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</si>
  <si>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</si>
  <si>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</si>
  <si>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</si>
  <si>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</si>
  <si>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</si>
  <si>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</si>
  <si>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</si>
  <si>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</si>
  <si>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</si>
  <si>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</si>
  <si>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</si>
  <si>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</si>
  <si>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</si>
  <si>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</si>
  <si>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</si>
  <si>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</si>
  <si>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</si>
  <si>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</si>
  <si>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</si>
  <si>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</si>
  <si>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</si>
  <si>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</si>
  <si>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</si>
  <si>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</si>
  <si>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</si>
  <si>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</si>
  <si>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</si>
  <si>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</si>
  <si>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</si>
  <si>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</si>
  <si>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</si>
  <si>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</si>
  <si>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</si>
  <si>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</si>
  <si>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</si>
  <si>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</si>
  <si>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</si>
  <si>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</si>
  <si>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</si>
  <si>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</si>
  <si>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</si>
  <si>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</si>
  <si>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</si>
  <si>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</si>
  <si>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</si>
  <si>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</si>
  <si>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</si>
  <si>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</si>
  <si>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</si>
  <si>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</si>
  <si>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</si>
  <si>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</si>
  <si>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</si>
  <si>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</si>
  <si>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</si>
  <si>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</si>
  <si>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</si>
  <si>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</si>
  <si>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</si>
  <si>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</si>
  <si>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</si>
  <si>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</si>
  <si>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</si>
  <si>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</si>
  <si>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</si>
  <si>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</si>
  <si>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</si>
  <si>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</si>
  <si>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</si>
  <si>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</si>
  <si>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</si>
  <si>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</si>
  <si>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</si>
  <si>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</si>
  <si>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</si>
  <si>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</si>
  <si>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</si>
  <si>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</si>
  <si>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</si>
  <si>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</si>
  <si>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</si>
  <si>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</si>
  <si>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</si>
  <si>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</si>
  <si>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</si>
  <si>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</si>
  <si>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</si>
  <si>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</si>
  <si>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</si>
  <si>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</si>
  <si>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</si>
  <si>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</si>
  <si>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</si>
  <si>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</si>
  <si>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</si>
  <si>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</si>
  <si>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</si>
  <si>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</si>
  <si>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</si>
  <si>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</si>
  <si>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</si>
  <si>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</si>
  <si>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</si>
  <si>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</si>
  <si>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</si>
  <si>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</si>
  <si>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</si>
  <si>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</si>
  <si>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</si>
  <si>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</si>
  <si>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</si>
  <si>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</si>
  <si>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</si>
  <si>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</si>
  <si>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</si>
  <si>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</si>
  <si>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</si>
  <si>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</si>
  <si>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</si>
  <si>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</si>
  <si>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</si>
  <si>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</si>
  <si>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</si>
  <si>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</si>
  <si>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</si>
  <si>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</si>
  <si>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</si>
  <si>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</si>
  <si>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</si>
  <si>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</si>
  <si>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</si>
  <si>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</si>
  <si>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</si>
  <si>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</si>
  <si>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</si>
  <si>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</si>
  <si>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</si>
  <si>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</si>
  <si>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</si>
  <si>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</si>
  <si>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</si>
  <si>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</si>
  <si>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</si>
  <si>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</si>
  <si>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</si>
  <si>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</si>
  <si>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</si>
  <si>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</si>
  <si>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</si>
  <si>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</si>
  <si>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</si>
  <si>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</si>
  <si>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</si>
  <si>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</si>
  <si>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</si>
  <si>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</si>
  <si>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</si>
  <si>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</si>
  <si>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</si>
  <si>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</si>
  <si>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</si>
  <si>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</si>
  <si>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</si>
  <si>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</si>
  <si>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</si>
  <si>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</si>
  <si>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</si>
  <si>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</si>
  <si>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</si>
  <si>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</si>
  <si>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</si>
  <si>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</si>
  <si>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</si>
  <si>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</si>
  <si>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</si>
  <si>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</si>
  <si>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</si>
  <si>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</si>
  <si>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</si>
  <si>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</si>
  <si>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</si>
  <si>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</si>
  <si>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</si>
  <si>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</si>
  <si>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</si>
  <si>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</si>
  <si>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</si>
  <si>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</si>
  <si>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</si>
  <si>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</si>
  <si>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</si>
  <si>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</si>
  <si>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</si>
  <si>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</si>
  <si>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</si>
  <si>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</si>
  <si>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</si>
  <si>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</si>
  <si>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</si>
  <si>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</si>
  <si>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</si>
  <si>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</si>
  <si>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</si>
  <si>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</si>
  <si>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</si>
  <si>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</si>
  <si>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</si>
  <si>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</si>
  <si>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</si>
  <si>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</si>
  <si>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</si>
  <si>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</si>
  <si>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</si>
  <si>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</si>
  <si>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</si>
  <si>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</si>
  <si>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</si>
  <si>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</si>
  <si>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</si>
  <si>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</si>
  <si>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</si>
  <si>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</si>
  <si>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</si>
  <si>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</si>
  <si>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1:25.10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</si>
  <si>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</si>
  <si>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</si>
  <si>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</si>
  <si>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晗晗</t>
    </r>
    <phoneticPr fontId="1" type="noConversion"/>
  </si>
  <si>
    <t>棱光 关羽</t>
    <phoneticPr fontId="1" type="noConversion"/>
  </si>
  <si>
    <t>1:27.33</t>
    <phoneticPr fontId="1" type="noConversion"/>
  </si>
  <si>
    <t>1:29.16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</si>
  <si>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</si>
  <si>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</si>
  <si>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</si>
  <si>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</si>
  <si>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</si>
  <si>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</si>
  <si>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</si>
  <si>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</si>
  <si>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</si>
  <si>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</si>
  <si>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</si>
  <si>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</si>
  <si>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</si>
  <si>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</si>
  <si>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</si>
  <si>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</si>
  <si>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</si>
  <si>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</si>
  <si>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</si>
  <si>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</si>
  <si>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</si>
  <si>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</si>
  <si>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2026.10.02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</si>
  <si>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</si>
  <si>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</si>
  <si>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</si>
  <si>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</si>
  <si>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</si>
  <si>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截至2026.10.03比赛结束</t>
  </si>
  <si>
    <t>1:28.10</t>
    <phoneticPr fontId="1" type="noConversion"/>
  </si>
  <si>
    <t>2026.10.03</t>
    <phoneticPr fontId="1" type="noConversion"/>
  </si>
  <si>
    <t>2v2(24)</t>
    <phoneticPr fontId="1" type="noConversion"/>
  </si>
  <si>
    <t>1v1(20)</t>
    <phoneticPr fontId="1" type="noConversion"/>
  </si>
  <si>
    <t>0:56.97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</si>
</sst>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F76" zoomScale="150" zoomScaleNormal="150" workbookViewId="0">
      <selection activeCell="M84" sqref="M84:Q92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6" x14ac:dyDescent="0.3">
      <c r="A1" s="89" t="s">
        <v>272</v>
      </c>
      <c r="B1" s="81"/>
      <c r="C1" s="81"/>
      <c r="D1" s="81"/>
      <c r="E1" s="81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92" t="s">
        <v>322</v>
      </c>
      <c r="B2" s="93"/>
      <c r="C2" s="93"/>
      <c r="D2" s="93"/>
      <c r="E2" s="80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103</v>
      </c>
      <c r="B3" s="2" t="s">
        <v>19</v>
      </c>
      <c r="C3" s="2" t="s">
        <v>104</v>
      </c>
      <c r="D3" s="2" t="s">
        <v>105</v>
      </c>
      <c r="E3" s="2" t="s">
        <v>106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108</v>
      </c>
      <c r="C4" s="2">
        <v>9</v>
      </c>
      <c r="D4" s="2">
        <v>7</v>
      </c>
      <c r="E4" s="28">
        <f t="shared" ref="E4:E11" si="0">D4/C4*100%</f>
        <v>0.77777777777777779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27" t="s">
        <v>107</v>
      </c>
      <c r="C5" s="2">
        <v>8</v>
      </c>
      <c r="D5" s="2">
        <v>6</v>
      </c>
      <c r="E5" s="28">
        <f t="shared" si="0"/>
        <v>0.75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30" t="s">
        <v>110</v>
      </c>
      <c r="C6" s="2">
        <v>9</v>
      </c>
      <c r="D6" s="2">
        <v>6</v>
      </c>
      <c r="E6" s="28">
        <f t="shared" si="0"/>
        <v>0.66666666666666663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109</v>
      </c>
      <c r="C7" s="2">
        <v>8</v>
      </c>
      <c r="D7" s="2">
        <v>4</v>
      </c>
      <c r="E7" s="28">
        <f t="shared" si="0"/>
        <v>0.5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111</v>
      </c>
      <c r="C8" s="2">
        <v>9</v>
      </c>
      <c r="D8" s="2">
        <v>5</v>
      </c>
      <c r="E8" s="28">
        <f t="shared" si="0"/>
        <v>0.55555555555555558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303</v>
      </c>
      <c r="C9" s="2">
        <v>9</v>
      </c>
      <c r="D9" s="2">
        <v>3</v>
      </c>
      <c r="E9" s="28">
        <f t="shared" si="0"/>
        <v>0.33333333333333331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29" t="s">
        <v>2</v>
      </c>
      <c r="C10" s="2">
        <v>8</v>
      </c>
      <c r="D10" s="2">
        <v>2</v>
      </c>
      <c r="E10" s="28">
        <f t="shared" si="0"/>
        <v>0.25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33" t="s">
        <v>113</v>
      </c>
      <c r="C11" s="2">
        <v>8</v>
      </c>
      <c r="D11" s="2">
        <v>1</v>
      </c>
      <c r="E11" s="28">
        <f t="shared" si="0"/>
        <v>0.125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9" t="s">
        <v>114</v>
      </c>
      <c r="B13" s="93"/>
      <c r="C13" s="93"/>
      <c r="D13" s="93"/>
      <c r="E13" s="80"/>
      <c r="F13" s="26"/>
      <c r="G13" s="81" t="s">
        <v>115</v>
      </c>
      <c r="H13" s="81"/>
      <c r="I13" s="81"/>
      <c r="J13" s="81"/>
      <c r="K13" s="81"/>
      <c r="L13" s="26"/>
      <c r="M13" s="94" t="s">
        <v>116</v>
      </c>
      <c r="N13" s="81"/>
      <c r="O13" s="81"/>
      <c r="P13" s="81"/>
    </row>
    <row r="14" spans="1:16" x14ac:dyDescent="0.3">
      <c r="A14" s="93" t="s">
        <v>322</v>
      </c>
      <c r="B14" s="93"/>
      <c r="C14" s="93"/>
      <c r="D14" s="93"/>
      <c r="E14" s="80"/>
      <c r="F14" s="26"/>
      <c r="G14" s="81" t="s">
        <v>322</v>
      </c>
      <c r="H14" s="81"/>
      <c r="I14" s="81"/>
      <c r="J14" s="81"/>
      <c r="K14" s="81"/>
      <c r="L14" s="26"/>
      <c r="M14" s="79" t="s">
        <v>322</v>
      </c>
      <c r="N14" s="93"/>
      <c r="O14" s="93"/>
      <c r="P14" s="80"/>
    </row>
    <row r="15" spans="1:16" x14ac:dyDescent="0.3">
      <c r="A15" s="2" t="s">
        <v>103</v>
      </c>
      <c r="B15" s="2" t="s">
        <v>19</v>
      </c>
      <c r="C15" s="2" t="s">
        <v>117</v>
      </c>
      <c r="D15" s="2" t="s">
        <v>118</v>
      </c>
      <c r="E15" s="70" t="s">
        <v>276</v>
      </c>
      <c r="F15" s="26"/>
      <c r="G15" s="2" t="s">
        <v>103</v>
      </c>
      <c r="H15" s="2" t="s">
        <v>120</v>
      </c>
      <c r="I15" s="2" t="s">
        <v>117</v>
      </c>
      <c r="J15" s="2" t="s">
        <v>118</v>
      </c>
      <c r="K15" s="2" t="s">
        <v>119</v>
      </c>
      <c r="L15" s="26"/>
      <c r="M15" s="2" t="s">
        <v>103</v>
      </c>
      <c r="N15" s="2" t="s">
        <v>19</v>
      </c>
      <c r="O15" s="2" t="s">
        <v>121</v>
      </c>
      <c r="P15" s="2" t="s">
        <v>122</v>
      </c>
    </row>
    <row r="16" spans="1:16" x14ac:dyDescent="0.3">
      <c r="A16" s="2">
        <v>1</v>
      </c>
      <c r="B16" s="31" t="s">
        <v>123</v>
      </c>
      <c r="C16" s="2">
        <v>71</v>
      </c>
      <c r="D16" s="2">
        <v>731</v>
      </c>
      <c r="E16" s="78">
        <f>D16/C16</f>
        <v>10.295774647887324</v>
      </c>
      <c r="F16" s="26"/>
      <c r="G16" s="2">
        <v>1</v>
      </c>
      <c r="H16" s="31" t="s">
        <v>124</v>
      </c>
      <c r="I16" s="2">
        <v>71</v>
      </c>
      <c r="J16" s="2">
        <v>1393</v>
      </c>
      <c r="K16" s="34">
        <f>J16/I16</f>
        <v>19.619718309859156</v>
      </c>
      <c r="L16" s="26"/>
      <c r="M16" s="2">
        <v>1</v>
      </c>
      <c r="N16" s="31" t="s">
        <v>123</v>
      </c>
      <c r="O16" s="2">
        <v>11</v>
      </c>
      <c r="P16" s="2">
        <v>8</v>
      </c>
    </row>
    <row r="17" spans="1:16" x14ac:dyDescent="0.3">
      <c r="A17" s="2">
        <v>2</v>
      </c>
      <c r="B17" s="27" t="s">
        <v>127</v>
      </c>
      <c r="C17" s="2">
        <v>64</v>
      </c>
      <c r="D17" s="2">
        <v>634</v>
      </c>
      <c r="E17" s="78">
        <f>D17/C17</f>
        <v>9.90625</v>
      </c>
      <c r="F17" s="26"/>
      <c r="G17" s="2">
        <v>2</v>
      </c>
      <c r="H17" s="27" t="s">
        <v>9</v>
      </c>
      <c r="I17" s="2">
        <v>64</v>
      </c>
      <c r="J17" s="2">
        <v>1229</v>
      </c>
      <c r="K17" s="34">
        <f>J17/I17</f>
        <v>19.203125</v>
      </c>
      <c r="L17" s="26"/>
      <c r="M17" s="2">
        <v>2</v>
      </c>
      <c r="N17" s="2" t="s">
        <v>125</v>
      </c>
      <c r="O17" s="2">
        <v>9</v>
      </c>
      <c r="P17" s="2">
        <v>5</v>
      </c>
    </row>
    <row r="18" spans="1:16" x14ac:dyDescent="0.3">
      <c r="A18" s="2">
        <v>3</v>
      </c>
      <c r="B18" s="29" t="s">
        <v>126</v>
      </c>
      <c r="C18" s="2">
        <v>71</v>
      </c>
      <c r="D18" s="2">
        <v>701</v>
      </c>
      <c r="E18" s="78">
        <f>D18/C18</f>
        <v>9.873239436619718</v>
      </c>
      <c r="F18" s="26"/>
      <c r="G18" s="2">
        <v>3</v>
      </c>
      <c r="H18" s="29" t="s">
        <v>6</v>
      </c>
      <c r="I18" s="2">
        <v>71</v>
      </c>
      <c r="J18" s="2">
        <v>1363</v>
      </c>
      <c r="K18" s="34">
        <f>J18/I18</f>
        <v>19.197183098591548</v>
      </c>
      <c r="L18" s="26"/>
      <c r="M18" s="2">
        <v>3</v>
      </c>
      <c r="N18" s="29" t="s">
        <v>126</v>
      </c>
      <c r="O18" s="2">
        <v>11</v>
      </c>
      <c r="P18" s="2">
        <v>5</v>
      </c>
    </row>
    <row r="19" spans="1:16" x14ac:dyDescent="0.3">
      <c r="A19" s="2">
        <v>4</v>
      </c>
      <c r="B19" s="2" t="s">
        <v>125</v>
      </c>
      <c r="C19" s="2">
        <v>66</v>
      </c>
      <c r="D19" s="2">
        <v>650</v>
      </c>
      <c r="E19" s="78">
        <f>D19/C19</f>
        <v>9.8484848484848477</v>
      </c>
      <c r="F19" s="26"/>
      <c r="G19" s="2">
        <v>4</v>
      </c>
      <c r="H19" s="30" t="s">
        <v>7</v>
      </c>
      <c r="I19" s="2">
        <v>75</v>
      </c>
      <c r="J19" s="2">
        <v>1430</v>
      </c>
      <c r="K19" s="34">
        <f>J19/I19</f>
        <v>19.066666666666666</v>
      </c>
      <c r="L19" s="26"/>
      <c r="M19" s="2">
        <v>4</v>
      </c>
      <c r="N19" s="27" t="s">
        <v>127</v>
      </c>
      <c r="O19" s="2">
        <v>9</v>
      </c>
      <c r="P19" s="2">
        <v>4</v>
      </c>
    </row>
    <row r="20" spans="1:16" x14ac:dyDescent="0.3">
      <c r="A20" s="2">
        <v>5</v>
      </c>
      <c r="B20" s="32" t="s">
        <v>304</v>
      </c>
      <c r="C20" s="2">
        <v>77</v>
      </c>
      <c r="D20" s="2">
        <v>757</v>
      </c>
      <c r="E20" s="78">
        <f>D20/C20</f>
        <v>9.8311688311688314</v>
      </c>
      <c r="F20" s="26"/>
      <c r="G20" s="2">
        <v>5</v>
      </c>
      <c r="H20" s="2" t="s">
        <v>8</v>
      </c>
      <c r="I20" s="2">
        <v>66</v>
      </c>
      <c r="J20" s="2">
        <v>1258</v>
      </c>
      <c r="K20" s="34">
        <f>J20/I20</f>
        <v>19.060606060606062</v>
      </c>
      <c r="L20" s="26"/>
      <c r="M20" s="2">
        <v>5</v>
      </c>
      <c r="N20" s="29" t="s">
        <v>108</v>
      </c>
      <c r="O20" s="2">
        <v>11</v>
      </c>
      <c r="P20" s="2">
        <v>4</v>
      </c>
    </row>
    <row r="21" spans="1:16" x14ac:dyDescent="0.3">
      <c r="A21" s="2">
        <v>6</v>
      </c>
      <c r="B21" s="33" t="s">
        <v>128</v>
      </c>
      <c r="C21" s="2">
        <v>66</v>
      </c>
      <c r="D21" s="2">
        <v>641</v>
      </c>
      <c r="E21" s="78">
        <f>D21/C21</f>
        <v>9.7121212121212128</v>
      </c>
      <c r="F21" s="26"/>
      <c r="G21" s="2">
        <v>6</v>
      </c>
      <c r="H21" s="32" t="s">
        <v>305</v>
      </c>
      <c r="I21" s="2">
        <v>77</v>
      </c>
      <c r="J21" s="2">
        <v>1465</v>
      </c>
      <c r="K21" s="34">
        <f>J21/I21</f>
        <v>19.025974025974026</v>
      </c>
      <c r="L21" s="26"/>
      <c r="M21" s="2">
        <v>6</v>
      </c>
      <c r="N21" s="32" t="s">
        <v>304</v>
      </c>
      <c r="O21" s="2">
        <v>11</v>
      </c>
      <c r="P21" s="2">
        <v>4</v>
      </c>
    </row>
    <row r="22" spans="1:16" x14ac:dyDescent="0.3">
      <c r="A22" s="2">
        <v>7</v>
      </c>
      <c r="B22" s="30" t="s">
        <v>110</v>
      </c>
      <c r="C22" s="2">
        <v>75</v>
      </c>
      <c r="D22" s="2">
        <v>715</v>
      </c>
      <c r="E22" s="78">
        <f>D22/C22</f>
        <v>9.5333333333333332</v>
      </c>
      <c r="F22" s="26"/>
      <c r="G22" s="2">
        <v>7</v>
      </c>
      <c r="H22" s="33" t="s">
        <v>10</v>
      </c>
      <c r="I22" s="2">
        <v>66</v>
      </c>
      <c r="J22" s="2">
        <v>1244</v>
      </c>
      <c r="K22" s="34">
        <f>J22/I22</f>
        <v>18.848484848484848</v>
      </c>
      <c r="L22" s="26"/>
      <c r="M22" s="2">
        <v>7</v>
      </c>
      <c r="N22" s="30" t="s">
        <v>110</v>
      </c>
      <c r="O22" s="2">
        <v>11</v>
      </c>
      <c r="P22" s="2">
        <v>3</v>
      </c>
    </row>
    <row r="23" spans="1:16" x14ac:dyDescent="0.3">
      <c r="A23" s="2">
        <v>8</v>
      </c>
      <c r="B23" s="30" t="s">
        <v>4</v>
      </c>
      <c r="C23" s="2">
        <v>75</v>
      </c>
      <c r="D23" s="2">
        <v>715</v>
      </c>
      <c r="E23" s="78">
        <f>D23/C23</f>
        <v>9.5333333333333332</v>
      </c>
      <c r="F23" s="26"/>
      <c r="G23" s="2">
        <v>8</v>
      </c>
      <c r="H23" s="29" t="s">
        <v>11</v>
      </c>
      <c r="I23" s="2">
        <v>58</v>
      </c>
      <c r="J23" s="2">
        <v>1041</v>
      </c>
      <c r="K23" s="34">
        <f>J23/I23</f>
        <v>17.948275862068964</v>
      </c>
      <c r="L23" s="26"/>
      <c r="M23" s="2">
        <v>8</v>
      </c>
      <c r="N23" s="33" t="s">
        <v>128</v>
      </c>
      <c r="O23" s="2">
        <v>8</v>
      </c>
      <c r="P23" s="2">
        <v>2</v>
      </c>
    </row>
    <row r="24" spans="1:16" x14ac:dyDescent="0.3">
      <c r="A24" s="2">
        <v>9</v>
      </c>
      <c r="B24" s="31" t="s">
        <v>111</v>
      </c>
      <c r="C24" s="2">
        <v>71</v>
      </c>
      <c r="D24" s="2">
        <v>662</v>
      </c>
      <c r="E24" s="78">
        <f>D24/C24</f>
        <v>9.3239436619718301</v>
      </c>
      <c r="F24" s="26"/>
      <c r="G24" s="26"/>
      <c r="H24" s="26"/>
      <c r="I24" s="26"/>
      <c r="J24" s="26"/>
      <c r="K24" s="26"/>
      <c r="L24" s="26"/>
      <c r="M24" s="2">
        <v>9</v>
      </c>
      <c r="N24" s="31" t="s">
        <v>111</v>
      </c>
      <c r="O24" s="2">
        <v>11</v>
      </c>
      <c r="P24" s="2">
        <v>2</v>
      </c>
    </row>
    <row r="25" spans="1:16" x14ac:dyDescent="0.3">
      <c r="A25" s="2">
        <v>10</v>
      </c>
      <c r="B25" s="29" t="s">
        <v>108</v>
      </c>
      <c r="C25" s="2">
        <v>71</v>
      </c>
      <c r="D25" s="2">
        <v>662</v>
      </c>
      <c r="E25" s="78">
        <f>D25/C25</f>
        <v>9.3239436619718301</v>
      </c>
      <c r="F25" s="26"/>
      <c r="G25" s="26"/>
      <c r="H25" s="26"/>
      <c r="I25" s="26"/>
      <c r="J25" s="26"/>
      <c r="K25" s="26"/>
      <c r="L25" s="26"/>
      <c r="M25" s="2">
        <v>10</v>
      </c>
      <c r="N25" s="27" t="s">
        <v>107</v>
      </c>
      <c r="O25" s="2">
        <v>9</v>
      </c>
      <c r="P25" s="2">
        <v>1</v>
      </c>
    </row>
    <row r="26" spans="1:16" x14ac:dyDescent="0.3">
      <c r="A26" s="2">
        <v>11</v>
      </c>
      <c r="B26" s="27" t="s">
        <v>107</v>
      </c>
      <c r="C26" s="2">
        <v>64</v>
      </c>
      <c r="D26" s="2">
        <v>595</v>
      </c>
      <c r="E26" s="78">
        <f>D26/C26</f>
        <v>9.296875</v>
      </c>
      <c r="F26" s="26"/>
      <c r="G26" s="26"/>
      <c r="H26" s="26"/>
      <c r="I26" s="26"/>
      <c r="J26" s="26"/>
      <c r="K26" s="26"/>
      <c r="L26" s="26"/>
      <c r="M26" s="2">
        <v>11</v>
      </c>
      <c r="N26" s="30" t="s">
        <v>4</v>
      </c>
      <c r="O26" s="2">
        <v>11</v>
      </c>
      <c r="P26" s="2">
        <v>1</v>
      </c>
    </row>
    <row r="27" spans="1:16" x14ac:dyDescent="0.3">
      <c r="A27" s="2">
        <v>12</v>
      </c>
      <c r="B27" s="2" t="s">
        <v>129</v>
      </c>
      <c r="C27" s="2">
        <v>58</v>
      </c>
      <c r="D27" s="2">
        <v>539</v>
      </c>
      <c r="E27" s="78">
        <f>D27/C27</f>
        <v>9.2931034482758612</v>
      </c>
      <c r="F27" s="26"/>
      <c r="G27" s="26"/>
      <c r="H27" s="26"/>
      <c r="I27" s="26"/>
      <c r="J27" s="26"/>
      <c r="K27" s="26"/>
      <c r="L27" s="26"/>
      <c r="M27" s="2">
        <v>12</v>
      </c>
      <c r="N27" s="32" t="s">
        <v>303</v>
      </c>
      <c r="O27" s="2">
        <v>11</v>
      </c>
      <c r="P27" s="2">
        <v>1</v>
      </c>
    </row>
    <row r="28" spans="1:16" x14ac:dyDescent="0.3">
      <c r="A28" s="2">
        <v>13</v>
      </c>
      <c r="B28" s="29" t="s">
        <v>3</v>
      </c>
      <c r="C28" s="2">
        <v>58</v>
      </c>
      <c r="D28" s="2">
        <v>538</v>
      </c>
      <c r="E28" s="78">
        <f>D28/C28</f>
        <v>9.2758620689655178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113</v>
      </c>
      <c r="O28" s="2">
        <v>8</v>
      </c>
      <c r="P28" s="2">
        <v>0</v>
      </c>
    </row>
    <row r="29" spans="1:16" x14ac:dyDescent="0.3">
      <c r="A29" s="2">
        <v>14</v>
      </c>
      <c r="B29" s="32" t="s">
        <v>303</v>
      </c>
      <c r="C29" s="2">
        <v>77</v>
      </c>
      <c r="D29" s="2">
        <v>708</v>
      </c>
      <c r="E29" s="78">
        <f>D29/C29</f>
        <v>9.1948051948051948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3</v>
      </c>
      <c r="O29" s="2">
        <v>9</v>
      </c>
      <c r="P29" s="2">
        <v>0</v>
      </c>
    </row>
    <row r="30" spans="1:16" x14ac:dyDescent="0.3">
      <c r="A30" s="2">
        <v>15</v>
      </c>
      <c r="B30" s="33" t="s">
        <v>113</v>
      </c>
      <c r="C30" s="2">
        <v>66</v>
      </c>
      <c r="D30" s="2">
        <v>603</v>
      </c>
      <c r="E30" s="78">
        <f>D30/C30</f>
        <v>9.1363636363636367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129</v>
      </c>
      <c r="O30" s="2">
        <v>7</v>
      </c>
      <c r="P30" s="2">
        <v>0</v>
      </c>
    </row>
    <row r="31" spans="1:16" x14ac:dyDescent="0.3">
      <c r="A31" s="2">
        <v>16</v>
      </c>
      <c r="B31" s="29" t="s">
        <v>130</v>
      </c>
      <c r="C31" s="2">
        <v>58</v>
      </c>
      <c r="D31" s="2">
        <v>503</v>
      </c>
      <c r="E31" s="78">
        <f>D31/C31</f>
        <v>8.6724137931034484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130</v>
      </c>
      <c r="O31" s="2">
        <v>9</v>
      </c>
      <c r="P31" s="2">
        <v>0</v>
      </c>
    </row>
    <row r="32" spans="1:16" x14ac:dyDescent="0.3">
      <c r="A32" s="2">
        <v>17</v>
      </c>
      <c r="B32" s="2" t="s">
        <v>223</v>
      </c>
      <c r="C32" s="2">
        <v>8</v>
      </c>
      <c r="D32" s="2">
        <v>69</v>
      </c>
      <c r="E32" s="78">
        <f>D32/C32</f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223</v>
      </c>
      <c r="O32" s="2">
        <v>3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9" t="s">
        <v>131</v>
      </c>
      <c r="B34" s="93"/>
      <c r="C34" s="93"/>
      <c r="D34" s="93"/>
      <c r="E34" s="80"/>
      <c r="F34" s="26"/>
      <c r="G34" s="94" t="s">
        <v>132</v>
      </c>
      <c r="H34" s="81"/>
      <c r="I34" s="81"/>
      <c r="J34" s="81"/>
      <c r="K34" s="81"/>
      <c r="L34" s="26"/>
      <c r="M34" s="26"/>
      <c r="N34" s="26"/>
      <c r="O34" s="26"/>
      <c r="P34" s="26"/>
    </row>
    <row r="35" spans="1:16" x14ac:dyDescent="0.3">
      <c r="A35" s="79" t="s">
        <v>322</v>
      </c>
      <c r="B35" s="93"/>
      <c r="C35" s="93"/>
      <c r="D35" s="93"/>
      <c r="E35" s="80"/>
      <c r="F35" s="26"/>
      <c r="G35" s="81" t="s">
        <v>322</v>
      </c>
      <c r="H35" s="81"/>
      <c r="I35" s="81"/>
      <c r="J35" s="81"/>
      <c r="K35" s="81"/>
      <c r="L35" s="26"/>
      <c r="M35" s="26"/>
      <c r="N35" s="26"/>
      <c r="O35" s="26"/>
      <c r="P35" s="26"/>
    </row>
    <row r="36" spans="1:16" x14ac:dyDescent="0.3">
      <c r="A36" s="2" t="s">
        <v>103</v>
      </c>
      <c r="B36" s="2" t="s">
        <v>19</v>
      </c>
      <c r="C36" s="2" t="s">
        <v>117</v>
      </c>
      <c r="D36" s="2" t="s">
        <v>133</v>
      </c>
      <c r="E36" s="2" t="s">
        <v>134</v>
      </c>
      <c r="F36" s="26"/>
      <c r="G36" s="2" t="s">
        <v>103</v>
      </c>
      <c r="H36" s="2" t="s">
        <v>120</v>
      </c>
      <c r="I36" s="2" t="s">
        <v>117</v>
      </c>
      <c r="J36" s="2" t="s">
        <v>133</v>
      </c>
      <c r="K36" s="70" t="s">
        <v>274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123</v>
      </c>
      <c r="C37" s="2">
        <v>71</v>
      </c>
      <c r="D37" s="2">
        <v>35</v>
      </c>
      <c r="E37" s="28">
        <f>D37/C37</f>
        <v>0.49295774647887325</v>
      </c>
      <c r="F37" s="26"/>
      <c r="G37" s="2">
        <v>1</v>
      </c>
      <c r="H37" s="31" t="s">
        <v>124</v>
      </c>
      <c r="I37" s="2">
        <v>71</v>
      </c>
      <c r="J37" s="2">
        <v>48</v>
      </c>
      <c r="K37" s="28">
        <f>J37/I37</f>
        <v>0.676056338028169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29" t="s">
        <v>126</v>
      </c>
      <c r="C38" s="2">
        <v>71</v>
      </c>
      <c r="D38" s="2">
        <v>23</v>
      </c>
      <c r="E38" s="28">
        <f>D38/C38</f>
        <v>0.323943661971831</v>
      </c>
      <c r="F38" s="26"/>
      <c r="G38" s="2">
        <v>2</v>
      </c>
      <c r="H38" s="29" t="s">
        <v>6</v>
      </c>
      <c r="I38" s="2">
        <v>71</v>
      </c>
      <c r="J38" s="2">
        <v>43</v>
      </c>
      <c r="K38" s="28">
        <f>J38/I38</f>
        <v>0.60563380281690138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33" t="s">
        <v>128</v>
      </c>
      <c r="C39" s="2">
        <v>66</v>
      </c>
      <c r="D39" s="2">
        <v>21</v>
      </c>
      <c r="E39" s="28">
        <f>D39/C39</f>
        <v>0.31818181818181818</v>
      </c>
      <c r="F39" s="26"/>
      <c r="G39" s="2">
        <v>3</v>
      </c>
      <c r="H39" s="2" t="s">
        <v>8</v>
      </c>
      <c r="I39" s="2">
        <v>66</v>
      </c>
      <c r="J39" s="2">
        <v>35</v>
      </c>
      <c r="K39" s="28">
        <f>J39/I39</f>
        <v>0.53030303030303028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2" t="s">
        <v>125</v>
      </c>
      <c r="C40" s="2">
        <v>66</v>
      </c>
      <c r="D40" s="2">
        <v>21</v>
      </c>
      <c r="E40" s="28">
        <f>D40/C40</f>
        <v>0.31818181818181818</v>
      </c>
      <c r="F40" s="26"/>
      <c r="G40" s="2">
        <v>4</v>
      </c>
      <c r="H40" s="33" t="s">
        <v>10</v>
      </c>
      <c r="I40" s="2">
        <v>66</v>
      </c>
      <c r="J40" s="2">
        <v>34</v>
      </c>
      <c r="K40" s="28">
        <f>J40/I40</f>
        <v>0.51515151515151514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32" t="s">
        <v>304</v>
      </c>
      <c r="C41" s="2">
        <v>77</v>
      </c>
      <c r="D41" s="2">
        <v>24</v>
      </c>
      <c r="E41" s="28">
        <f>D41/C41</f>
        <v>0.31168831168831168</v>
      </c>
      <c r="F41" s="26"/>
      <c r="G41" s="2">
        <v>5</v>
      </c>
      <c r="H41" s="32" t="s">
        <v>305</v>
      </c>
      <c r="I41" s="2">
        <v>77</v>
      </c>
      <c r="J41" s="2">
        <v>37</v>
      </c>
      <c r="K41" s="28">
        <f>J41/I41</f>
        <v>0.48051948051948051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7" t="s">
        <v>127</v>
      </c>
      <c r="C42" s="2">
        <v>64</v>
      </c>
      <c r="D42" s="2">
        <v>19</v>
      </c>
      <c r="E42" s="28">
        <f>D42/C42</f>
        <v>0.296875</v>
      </c>
      <c r="F42" s="26"/>
      <c r="G42" s="2">
        <v>6</v>
      </c>
      <c r="H42" s="27" t="s">
        <v>9</v>
      </c>
      <c r="I42" s="2">
        <v>64</v>
      </c>
      <c r="J42" s="2">
        <v>30</v>
      </c>
      <c r="K42" s="28">
        <f>J42/I42</f>
        <v>0.46875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108</v>
      </c>
      <c r="C43" s="2">
        <v>71</v>
      </c>
      <c r="D43" s="2">
        <v>20</v>
      </c>
      <c r="E43" s="28">
        <f>D43/C43</f>
        <v>0.28169014084507044</v>
      </c>
      <c r="F43" s="26"/>
      <c r="G43" s="2">
        <v>7</v>
      </c>
      <c r="H43" s="30" t="s">
        <v>7</v>
      </c>
      <c r="I43" s="2">
        <v>75</v>
      </c>
      <c r="J43" s="2">
        <v>28</v>
      </c>
      <c r="K43" s="28">
        <f>J43/I43</f>
        <v>0.37333333333333335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9" t="s">
        <v>3</v>
      </c>
      <c r="C44" s="2">
        <v>58</v>
      </c>
      <c r="D44" s="2">
        <v>14</v>
      </c>
      <c r="E44" s="28">
        <f>D44/C44</f>
        <v>0.2413793103448276</v>
      </c>
      <c r="F44" s="26"/>
      <c r="G44" s="2">
        <v>8</v>
      </c>
      <c r="H44" s="29" t="s">
        <v>11</v>
      </c>
      <c r="I44" s="2">
        <v>58</v>
      </c>
      <c r="J44" s="2">
        <v>19</v>
      </c>
      <c r="K44" s="28">
        <f>J44/I44</f>
        <v>0.32758620689655171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" t="s">
        <v>129</v>
      </c>
      <c r="C45" s="2">
        <v>58</v>
      </c>
      <c r="D45" s="2">
        <v>14</v>
      </c>
      <c r="E45" s="28">
        <f>D45/C45</f>
        <v>0.2413793103448276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3" t="s">
        <v>113</v>
      </c>
      <c r="C46" s="2">
        <v>66</v>
      </c>
      <c r="D46" s="2">
        <v>13</v>
      </c>
      <c r="E46" s="28">
        <f>D46/C46</f>
        <v>0.19696969696969696</v>
      </c>
      <c r="F46" s="26"/>
      <c r="G46" s="94" t="s">
        <v>294</v>
      </c>
      <c r="H46" s="81"/>
      <c r="I46" s="81"/>
      <c r="J46" s="81"/>
      <c r="K46" s="81"/>
      <c r="L46" s="26"/>
      <c r="M46" s="26"/>
      <c r="N46" s="26"/>
      <c r="O46" s="26"/>
      <c r="P46" s="26"/>
    </row>
    <row r="47" spans="1:16" x14ac:dyDescent="0.3">
      <c r="A47" s="2">
        <v>11</v>
      </c>
      <c r="B47" s="30" t="s">
        <v>110</v>
      </c>
      <c r="C47" s="2">
        <v>75</v>
      </c>
      <c r="D47" s="2">
        <v>14</v>
      </c>
      <c r="E47" s="28">
        <f>D47/C47</f>
        <v>0.18666666666666668</v>
      </c>
      <c r="F47" s="26"/>
      <c r="G47" s="81" t="s">
        <v>322</v>
      </c>
      <c r="H47" s="81"/>
      <c r="I47" s="81"/>
      <c r="J47" s="81"/>
      <c r="K47" s="81"/>
      <c r="L47" s="26"/>
      <c r="M47" s="26"/>
      <c r="N47" s="26"/>
      <c r="O47" s="26"/>
      <c r="P47" s="26"/>
    </row>
    <row r="48" spans="1:16" x14ac:dyDescent="0.3">
      <c r="A48" s="2">
        <v>12</v>
      </c>
      <c r="B48" s="30" t="s">
        <v>4</v>
      </c>
      <c r="C48" s="2">
        <v>75</v>
      </c>
      <c r="D48" s="2">
        <v>14</v>
      </c>
      <c r="E48" s="28">
        <f>D48/C48</f>
        <v>0.18666666666666668</v>
      </c>
      <c r="F48" s="26"/>
      <c r="G48" s="2" t="s">
        <v>103</v>
      </c>
      <c r="H48" s="2" t="s">
        <v>120</v>
      </c>
      <c r="I48" s="2" t="s">
        <v>135</v>
      </c>
      <c r="J48" s="2" t="s">
        <v>136</v>
      </c>
      <c r="K48" s="2" t="s">
        <v>106</v>
      </c>
      <c r="L48" s="26"/>
      <c r="M48" s="26"/>
      <c r="N48" s="26"/>
      <c r="O48" s="26"/>
      <c r="P48" s="26"/>
    </row>
    <row r="49" spans="1:17" x14ac:dyDescent="0.3">
      <c r="A49" s="2">
        <v>13</v>
      </c>
      <c r="B49" s="31" t="s">
        <v>111</v>
      </c>
      <c r="C49" s="2">
        <v>71</v>
      </c>
      <c r="D49" s="2">
        <v>13</v>
      </c>
      <c r="E49" s="28">
        <f>D49/C49</f>
        <v>0.18309859154929578</v>
      </c>
      <c r="F49" s="26"/>
      <c r="G49" s="2">
        <v>1</v>
      </c>
      <c r="H49" s="31" t="s">
        <v>124</v>
      </c>
      <c r="I49" s="2">
        <v>9</v>
      </c>
      <c r="J49" s="2">
        <v>9</v>
      </c>
      <c r="K49" s="28">
        <f>J49/I49</f>
        <v>1</v>
      </c>
      <c r="L49" s="26"/>
      <c r="M49" s="26"/>
      <c r="N49" s="26"/>
      <c r="O49" s="26"/>
      <c r="P49" s="26"/>
    </row>
    <row r="50" spans="1:17" x14ac:dyDescent="0.3">
      <c r="A50" s="2">
        <v>14</v>
      </c>
      <c r="B50" s="27" t="s">
        <v>107</v>
      </c>
      <c r="C50" s="2">
        <v>64</v>
      </c>
      <c r="D50" s="2">
        <v>11</v>
      </c>
      <c r="E50" s="28">
        <f>D50/C50</f>
        <v>0.171875</v>
      </c>
      <c r="F50" s="26"/>
      <c r="G50" s="2">
        <v>2</v>
      </c>
      <c r="H50" s="29" t="s">
        <v>6</v>
      </c>
      <c r="I50" s="2">
        <v>9</v>
      </c>
      <c r="J50" s="2">
        <v>7</v>
      </c>
      <c r="K50" s="28">
        <f>J50/I50</f>
        <v>0.77777777777777779</v>
      </c>
      <c r="L50" s="26"/>
      <c r="M50" s="26"/>
      <c r="N50" s="26"/>
      <c r="O50" s="26"/>
      <c r="P50" s="26"/>
    </row>
    <row r="51" spans="1:17" x14ac:dyDescent="0.3">
      <c r="A51" s="2">
        <v>15</v>
      </c>
      <c r="B51" s="32" t="s">
        <v>303</v>
      </c>
      <c r="C51" s="2">
        <v>77</v>
      </c>
      <c r="D51" s="2">
        <v>13</v>
      </c>
      <c r="E51" s="28">
        <f>D51/C51</f>
        <v>0.16883116883116883</v>
      </c>
      <c r="F51" s="26"/>
      <c r="G51" s="2">
        <v>3</v>
      </c>
      <c r="H51" s="27" t="s">
        <v>9</v>
      </c>
      <c r="I51" s="2">
        <v>8</v>
      </c>
      <c r="J51" s="2">
        <v>5</v>
      </c>
      <c r="K51" s="28">
        <f>J51/I51</f>
        <v>0.625</v>
      </c>
      <c r="L51" s="26"/>
      <c r="M51" s="26"/>
      <c r="N51" s="26"/>
      <c r="O51" s="26"/>
      <c r="P51" s="26"/>
    </row>
    <row r="52" spans="1:17" x14ac:dyDescent="0.3">
      <c r="A52" s="2">
        <v>16</v>
      </c>
      <c r="B52" s="29" t="s">
        <v>130</v>
      </c>
      <c r="C52" s="2">
        <v>58</v>
      </c>
      <c r="D52" s="2">
        <v>5</v>
      </c>
      <c r="E52" s="28">
        <f>D52/C52</f>
        <v>8.6206896551724144E-2</v>
      </c>
      <c r="F52" s="26"/>
      <c r="G52" s="2">
        <v>4</v>
      </c>
      <c r="H52" s="2" t="s">
        <v>8</v>
      </c>
      <c r="I52" s="2">
        <v>8</v>
      </c>
      <c r="J52" s="2">
        <v>5</v>
      </c>
      <c r="K52" s="28">
        <f>J52/I52</f>
        <v>0.625</v>
      </c>
      <c r="L52" s="26"/>
      <c r="M52" s="26"/>
      <c r="N52" s="26"/>
      <c r="O52" s="26"/>
      <c r="P52" s="26"/>
    </row>
    <row r="53" spans="1:17" x14ac:dyDescent="0.3">
      <c r="A53" s="2">
        <v>17</v>
      </c>
      <c r="B53" s="2" t="s">
        <v>223</v>
      </c>
      <c r="C53" s="2">
        <v>8</v>
      </c>
      <c r="D53" s="2">
        <v>0</v>
      </c>
      <c r="E53" s="28">
        <f>D53/C53</f>
        <v>0</v>
      </c>
      <c r="F53" s="26"/>
      <c r="G53" s="2">
        <v>5</v>
      </c>
      <c r="H53" s="32" t="s">
        <v>305</v>
      </c>
      <c r="I53" s="2">
        <v>9</v>
      </c>
      <c r="J53" s="2">
        <v>3</v>
      </c>
      <c r="K53" s="28">
        <f>J53/I53</f>
        <v>0.33333333333333331</v>
      </c>
      <c r="L53" s="26"/>
      <c r="M53" s="26"/>
      <c r="N53" s="26"/>
      <c r="O53" s="26"/>
      <c r="P53" s="26"/>
    </row>
    <row r="54" spans="1:17" x14ac:dyDescent="0.3">
      <c r="A54" s="26"/>
      <c r="B54" s="26"/>
      <c r="C54" s="26"/>
      <c r="D54" s="26"/>
      <c r="E54" s="26"/>
      <c r="F54" s="26"/>
      <c r="G54" s="2">
        <v>6</v>
      </c>
      <c r="H54" s="30" t="s">
        <v>7</v>
      </c>
      <c r="I54" s="2">
        <v>9</v>
      </c>
      <c r="J54" s="2">
        <v>3</v>
      </c>
      <c r="K54" s="28">
        <f>J54/I54</f>
        <v>0.33333333333333331</v>
      </c>
      <c r="L54" s="26"/>
      <c r="M54" s="26"/>
      <c r="N54" s="26"/>
      <c r="O54" s="26"/>
      <c r="P54" s="26"/>
    </row>
    <row r="55" spans="1:17" x14ac:dyDescent="0.3">
      <c r="A55" s="26"/>
      <c r="B55" s="26"/>
      <c r="C55" s="26"/>
      <c r="D55" s="26"/>
      <c r="E55" s="26"/>
      <c r="F55" s="26"/>
      <c r="G55" s="2">
        <v>7</v>
      </c>
      <c r="H55" s="33" t="s">
        <v>10</v>
      </c>
      <c r="I55" s="2">
        <v>8</v>
      </c>
      <c r="J55" s="2">
        <v>2</v>
      </c>
      <c r="K55" s="28">
        <f>J55/I55</f>
        <v>0.25</v>
      </c>
      <c r="L55" s="26"/>
      <c r="M55" s="26"/>
      <c r="N55" s="26"/>
      <c r="O55" s="26"/>
      <c r="P55" s="26"/>
    </row>
    <row r="56" spans="1:17" x14ac:dyDescent="0.3">
      <c r="A56" s="26"/>
      <c r="B56" s="26"/>
      <c r="C56" s="26"/>
      <c r="D56" s="26"/>
      <c r="E56" s="26"/>
      <c r="F56" s="26"/>
      <c r="G56" s="2">
        <v>8</v>
      </c>
      <c r="H56" s="29" t="s">
        <v>11</v>
      </c>
      <c r="I56" s="2">
        <v>8</v>
      </c>
      <c r="J56" s="2">
        <v>0</v>
      </c>
      <c r="K56" s="28">
        <f>J56/I56</f>
        <v>0</v>
      </c>
      <c r="L56" s="26"/>
      <c r="M56" s="26"/>
      <c r="N56" s="26"/>
      <c r="O56" s="26"/>
      <c r="P56" s="26"/>
    </row>
    <row r="57" spans="1:1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7" x14ac:dyDescent="0.3">
      <c r="A59" s="81" t="s">
        <v>137</v>
      </c>
      <c r="B59" s="81"/>
      <c r="C59" s="81"/>
      <c r="D59" s="81"/>
      <c r="E59" s="81"/>
      <c r="F59" s="26"/>
      <c r="G59" s="94" t="s">
        <v>295</v>
      </c>
      <c r="H59" s="81"/>
      <c r="I59" s="81"/>
      <c r="J59" s="81"/>
      <c r="K59" s="81"/>
      <c r="L59" s="26"/>
      <c r="M59" s="89" t="s">
        <v>298</v>
      </c>
      <c r="N59" s="81"/>
      <c r="O59" s="81"/>
      <c r="P59" s="81"/>
      <c r="Q59" s="81"/>
    </row>
    <row r="60" spans="1:17" x14ac:dyDescent="0.3">
      <c r="A60" s="81" t="s">
        <v>322</v>
      </c>
      <c r="B60" s="81"/>
      <c r="C60" s="81"/>
      <c r="D60" s="81"/>
      <c r="E60" s="81"/>
      <c r="F60" s="26"/>
      <c r="G60" s="81" t="s">
        <v>322</v>
      </c>
      <c r="H60" s="81"/>
      <c r="I60" s="81"/>
      <c r="J60" s="81"/>
      <c r="K60" s="81"/>
      <c r="L60" s="26"/>
      <c r="M60" s="81" t="s">
        <v>322</v>
      </c>
      <c r="N60" s="81"/>
      <c r="O60" s="81"/>
      <c r="P60" s="81"/>
      <c r="Q60" s="81"/>
    </row>
    <row r="61" spans="1:17" x14ac:dyDescent="0.3">
      <c r="A61" s="2" t="s">
        <v>103</v>
      </c>
      <c r="B61" s="2" t="s">
        <v>19</v>
      </c>
      <c r="C61" s="2" t="s">
        <v>138</v>
      </c>
      <c r="D61" s="2" t="s">
        <v>133</v>
      </c>
      <c r="E61" s="2" t="s">
        <v>106</v>
      </c>
      <c r="F61" s="26"/>
      <c r="G61" s="2" t="s">
        <v>103</v>
      </c>
      <c r="H61" s="2" t="s">
        <v>120</v>
      </c>
      <c r="I61" s="2" t="s">
        <v>135</v>
      </c>
      <c r="J61" s="2" t="s">
        <v>136</v>
      </c>
      <c r="K61" s="2" t="s">
        <v>106</v>
      </c>
      <c r="L61" s="26"/>
      <c r="M61" s="2" t="s">
        <v>103</v>
      </c>
      <c r="N61" s="2" t="s">
        <v>19</v>
      </c>
      <c r="O61" s="2" t="s">
        <v>135</v>
      </c>
      <c r="P61" s="2" t="s">
        <v>136</v>
      </c>
      <c r="Q61" s="2" t="s">
        <v>106</v>
      </c>
    </row>
    <row r="62" spans="1:17" x14ac:dyDescent="0.3">
      <c r="A62" s="2">
        <v>1</v>
      </c>
      <c r="B62" s="31" t="s">
        <v>123</v>
      </c>
      <c r="C62" s="2">
        <v>21</v>
      </c>
      <c r="D62" s="2">
        <v>16</v>
      </c>
      <c r="E62" s="28">
        <f>D62/C62</f>
        <v>0.76190476190476186</v>
      </c>
      <c r="F62" s="26"/>
      <c r="G62" s="2">
        <v>1</v>
      </c>
      <c r="H62" s="29" t="s">
        <v>6</v>
      </c>
      <c r="I62" s="2">
        <v>2</v>
      </c>
      <c r="J62" s="2">
        <v>2</v>
      </c>
      <c r="K62" s="28">
        <f>J62/I62</f>
        <v>1</v>
      </c>
      <c r="L62" s="26"/>
      <c r="M62" s="2">
        <v>1</v>
      </c>
      <c r="N62" s="29" t="s">
        <v>284</v>
      </c>
      <c r="O62" s="2">
        <v>2</v>
      </c>
      <c r="P62" s="2">
        <v>2</v>
      </c>
      <c r="Q62" s="28">
        <f>P62/O62</f>
        <v>1</v>
      </c>
    </row>
    <row r="63" spans="1:17" x14ac:dyDescent="0.3">
      <c r="A63" s="2">
        <v>2</v>
      </c>
      <c r="B63" s="2" t="s">
        <v>125</v>
      </c>
      <c r="C63" s="2">
        <v>14</v>
      </c>
      <c r="D63" s="2">
        <v>8</v>
      </c>
      <c r="E63" s="28">
        <f>D63/C63</f>
        <v>0.5714285714285714</v>
      </c>
      <c r="F63" s="26"/>
      <c r="G63" s="2">
        <v>2</v>
      </c>
      <c r="H63" s="32" t="s">
        <v>305</v>
      </c>
      <c r="I63" s="2">
        <v>2</v>
      </c>
      <c r="J63" s="2">
        <v>2</v>
      </c>
      <c r="K63" s="28">
        <f>J63/I63</f>
        <v>1</v>
      </c>
      <c r="L63" s="26"/>
      <c r="M63" s="2">
        <v>2</v>
      </c>
      <c r="N63" s="32" t="s">
        <v>303</v>
      </c>
      <c r="O63" s="2">
        <v>2</v>
      </c>
      <c r="P63" s="2">
        <v>2</v>
      </c>
      <c r="Q63" s="28">
        <f>P63/O63</f>
        <v>1</v>
      </c>
    </row>
    <row r="64" spans="1:17" x14ac:dyDescent="0.3">
      <c r="A64" s="2">
        <v>3</v>
      </c>
      <c r="B64" s="30" t="s">
        <v>4</v>
      </c>
      <c r="C64" s="2">
        <v>21</v>
      </c>
      <c r="D64" s="2">
        <v>10</v>
      </c>
      <c r="E64" s="28">
        <f>D64/C64</f>
        <v>0.47619047619047616</v>
      </c>
      <c r="F64" s="26"/>
      <c r="G64" s="2">
        <v>3</v>
      </c>
      <c r="H64" s="30" t="s">
        <v>7</v>
      </c>
      <c r="I64" s="2">
        <v>2</v>
      </c>
      <c r="J64" s="2">
        <v>1</v>
      </c>
      <c r="K64" s="28">
        <f>J64/I64</f>
        <v>0.5</v>
      </c>
      <c r="L64" s="26"/>
      <c r="M64" s="2">
        <v>3</v>
      </c>
      <c r="N64" s="30" t="s">
        <v>300</v>
      </c>
      <c r="O64" s="2">
        <v>2</v>
      </c>
      <c r="P64" s="2">
        <v>1</v>
      </c>
      <c r="Q64" s="28">
        <f>P64/O64</f>
        <v>0.5</v>
      </c>
    </row>
    <row r="65" spans="1:17" x14ac:dyDescent="0.3">
      <c r="A65" s="2">
        <v>4</v>
      </c>
      <c r="B65" s="29" t="s">
        <v>126</v>
      </c>
      <c r="C65" s="2">
        <v>13</v>
      </c>
      <c r="D65" s="2">
        <v>6</v>
      </c>
      <c r="E65" s="28">
        <f>D65/C65</f>
        <v>0.46153846153846156</v>
      </c>
      <c r="F65" s="26"/>
      <c r="G65" s="2">
        <v>4</v>
      </c>
      <c r="H65" s="31" t="s">
        <v>124</v>
      </c>
      <c r="I65" s="2">
        <v>2</v>
      </c>
      <c r="J65" s="2">
        <v>1</v>
      </c>
      <c r="K65" s="28">
        <f>J65/I65</f>
        <v>0.5</v>
      </c>
      <c r="L65" s="26"/>
      <c r="M65" s="2">
        <v>4</v>
      </c>
      <c r="N65" s="38" t="s">
        <v>299</v>
      </c>
      <c r="O65" s="2">
        <v>2</v>
      </c>
      <c r="P65" s="2">
        <v>1</v>
      </c>
      <c r="Q65" s="28">
        <f>P65/O65</f>
        <v>0.5</v>
      </c>
    </row>
    <row r="66" spans="1:17" x14ac:dyDescent="0.3">
      <c r="A66" s="2">
        <v>5</v>
      </c>
      <c r="B66" s="32" t="s">
        <v>304</v>
      </c>
      <c r="C66" s="2">
        <v>33</v>
      </c>
      <c r="D66" s="2">
        <v>15</v>
      </c>
      <c r="E66" s="28">
        <f>D66/C66</f>
        <v>0.45454545454545453</v>
      </c>
      <c r="F66" s="26"/>
      <c r="G66" s="2">
        <v>5</v>
      </c>
      <c r="H66" s="27" t="s">
        <v>9</v>
      </c>
      <c r="I66" s="2">
        <v>1</v>
      </c>
      <c r="J66" s="2">
        <v>0</v>
      </c>
      <c r="K66" s="28">
        <f>J66/I66</f>
        <v>0</v>
      </c>
      <c r="L66" s="26"/>
      <c r="M66" s="2">
        <v>5</v>
      </c>
      <c r="N66" s="27" t="s">
        <v>302</v>
      </c>
      <c r="O66" s="2">
        <v>1</v>
      </c>
      <c r="P66" s="2">
        <v>0</v>
      </c>
      <c r="Q66" s="28">
        <f>P66/O66</f>
        <v>0</v>
      </c>
    </row>
    <row r="67" spans="1:17" x14ac:dyDescent="0.3">
      <c r="A67" s="2">
        <v>6</v>
      </c>
      <c r="B67" s="33" t="s">
        <v>128</v>
      </c>
      <c r="C67" s="2">
        <v>27</v>
      </c>
      <c r="D67" s="2">
        <v>12</v>
      </c>
      <c r="E67" s="28">
        <f>D67/C67</f>
        <v>0.44444444444444442</v>
      </c>
      <c r="F67" s="26"/>
      <c r="G67" s="2">
        <v>6</v>
      </c>
      <c r="H67" s="29" t="s">
        <v>11</v>
      </c>
      <c r="I67" s="2">
        <v>1</v>
      </c>
      <c r="J67" s="2">
        <v>0</v>
      </c>
      <c r="K67" s="28">
        <f>J67/I67</f>
        <v>0</v>
      </c>
      <c r="L67" s="26"/>
      <c r="M67" s="2">
        <v>6</v>
      </c>
      <c r="N67" s="29" t="s">
        <v>130</v>
      </c>
      <c r="O67" s="2">
        <v>1</v>
      </c>
      <c r="P67" s="2">
        <v>0</v>
      </c>
      <c r="Q67" s="28">
        <f>P67/O67</f>
        <v>0</v>
      </c>
    </row>
    <row r="68" spans="1:17" x14ac:dyDescent="0.3">
      <c r="A68" s="2">
        <v>7</v>
      </c>
      <c r="B68" s="27" t="s">
        <v>127</v>
      </c>
      <c r="C68" s="2">
        <v>5</v>
      </c>
      <c r="D68" s="2">
        <v>0</v>
      </c>
      <c r="E68" s="28">
        <f>D68/C68</f>
        <v>0</v>
      </c>
      <c r="F68" s="26"/>
      <c r="G68" s="2">
        <v>7</v>
      </c>
      <c r="H68" s="2" t="s">
        <v>8</v>
      </c>
      <c r="I68" s="2">
        <v>1</v>
      </c>
      <c r="J68" s="2">
        <v>0</v>
      </c>
      <c r="K68" s="28">
        <f>J68/I68</f>
        <v>0</v>
      </c>
      <c r="L68" s="26"/>
      <c r="M68" s="2">
        <v>7</v>
      </c>
      <c r="N68" s="2" t="s">
        <v>223</v>
      </c>
      <c r="O68" s="2">
        <v>1</v>
      </c>
      <c r="P68" s="2">
        <v>0</v>
      </c>
      <c r="Q68" s="28">
        <f>P68/O68</f>
        <v>0</v>
      </c>
    </row>
    <row r="69" spans="1:17" x14ac:dyDescent="0.3">
      <c r="A69" s="2"/>
      <c r="B69" s="2"/>
      <c r="C69" s="2"/>
      <c r="D69" s="2"/>
      <c r="E69" s="28" t="e">
        <f t="shared" ref="E69:E74" si="1">D69/C69</f>
        <v>#DIV/0!</v>
      </c>
      <c r="F69" s="26"/>
      <c r="G69" s="2">
        <v>8</v>
      </c>
      <c r="H69" s="33" t="s">
        <v>10</v>
      </c>
      <c r="I69" s="2">
        <v>1</v>
      </c>
      <c r="J69" s="2">
        <v>0</v>
      </c>
      <c r="K69" s="28">
        <f>J69/I69</f>
        <v>0</v>
      </c>
      <c r="L69" s="26"/>
      <c r="M69" s="2">
        <v>8</v>
      </c>
      <c r="N69" s="33" t="s">
        <v>301</v>
      </c>
      <c r="O69" s="2">
        <v>1</v>
      </c>
      <c r="P69" s="2">
        <v>0</v>
      </c>
      <c r="Q69" s="28">
        <f>P69/O69</f>
        <v>0</v>
      </c>
    </row>
    <row r="70" spans="1:17" x14ac:dyDescent="0.3">
      <c r="A70" s="2"/>
      <c r="B70" s="2"/>
      <c r="C70" s="2"/>
      <c r="D70" s="2"/>
      <c r="E70" s="28" t="e">
        <f t="shared" si="1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7" x14ac:dyDescent="0.3">
      <c r="A71" s="2"/>
      <c r="B71" s="2"/>
      <c r="C71" s="2"/>
      <c r="D71" s="2"/>
      <c r="E71" s="28" t="e">
        <f t="shared" si="1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7" x14ac:dyDescent="0.3">
      <c r="A72" s="2"/>
      <c r="B72" s="2"/>
      <c r="C72" s="2"/>
      <c r="D72" s="2"/>
      <c r="E72" s="28" t="e">
        <f t="shared" si="1"/>
        <v>#DIV/0!</v>
      </c>
      <c r="F72" s="26"/>
      <c r="G72" s="89" t="s">
        <v>296</v>
      </c>
      <c r="H72" s="81"/>
      <c r="I72" s="81"/>
      <c r="J72" s="81"/>
      <c r="K72" s="81"/>
      <c r="L72" s="26"/>
      <c r="M72" s="89" t="s">
        <v>297</v>
      </c>
      <c r="N72" s="81"/>
      <c r="O72" s="81"/>
      <c r="P72" s="81"/>
      <c r="Q72" s="81"/>
    </row>
    <row r="73" spans="1:17" x14ac:dyDescent="0.3">
      <c r="A73" s="35"/>
      <c r="B73" s="35"/>
      <c r="C73" s="35"/>
      <c r="D73" s="35"/>
      <c r="E73" s="28" t="e">
        <f t="shared" si="1"/>
        <v>#DIV/0!</v>
      </c>
      <c r="F73" s="26"/>
      <c r="G73" s="81" t="s">
        <v>322</v>
      </c>
      <c r="H73" s="81"/>
      <c r="I73" s="81"/>
      <c r="J73" s="81"/>
      <c r="K73" s="81"/>
      <c r="L73" s="26"/>
      <c r="M73" s="81" t="s">
        <v>322</v>
      </c>
      <c r="N73" s="81"/>
      <c r="O73" s="81"/>
      <c r="P73" s="81"/>
      <c r="Q73" s="81"/>
    </row>
    <row r="74" spans="1:17" x14ac:dyDescent="0.3">
      <c r="A74" s="35"/>
      <c r="B74" s="35"/>
      <c r="C74" s="35"/>
      <c r="D74" s="35"/>
      <c r="E74" s="28" t="e">
        <f t="shared" si="1"/>
        <v>#DIV/0!</v>
      </c>
      <c r="F74" s="26"/>
      <c r="G74" s="2" t="s">
        <v>103</v>
      </c>
      <c r="H74" s="2" t="s">
        <v>19</v>
      </c>
      <c r="I74" s="2" t="s">
        <v>138</v>
      </c>
      <c r="J74" s="2" t="s">
        <v>133</v>
      </c>
      <c r="K74" s="2" t="s">
        <v>106</v>
      </c>
      <c r="L74" s="26"/>
      <c r="M74" s="2" t="s">
        <v>103</v>
      </c>
      <c r="N74" s="2" t="s">
        <v>19</v>
      </c>
      <c r="O74" s="2" t="s">
        <v>138</v>
      </c>
      <c r="P74" s="2" t="s">
        <v>133</v>
      </c>
      <c r="Q74" s="2" t="s">
        <v>106</v>
      </c>
    </row>
    <row r="75" spans="1:17" x14ac:dyDescent="0.3">
      <c r="A75" s="26"/>
      <c r="B75" s="26"/>
      <c r="C75" s="26"/>
      <c r="D75" s="26"/>
      <c r="E75" s="26"/>
      <c r="F75" s="26"/>
      <c r="G75" s="2">
        <v>1</v>
      </c>
      <c r="H75" s="30" t="s">
        <v>4</v>
      </c>
      <c r="I75" s="2">
        <v>10</v>
      </c>
      <c r="J75" s="2">
        <v>6</v>
      </c>
      <c r="K75" s="28">
        <f>J75/I75</f>
        <v>0.6</v>
      </c>
      <c r="L75" s="26"/>
      <c r="M75" s="2">
        <v>1</v>
      </c>
      <c r="N75" s="29" t="s">
        <v>284</v>
      </c>
      <c r="O75" s="2">
        <v>11</v>
      </c>
      <c r="P75" s="2">
        <v>8</v>
      </c>
      <c r="Q75" s="28">
        <f>P75/O75</f>
        <v>0.72727272727272729</v>
      </c>
    </row>
    <row r="76" spans="1:17" x14ac:dyDescent="0.3">
      <c r="A76" s="81" t="s">
        <v>139</v>
      </c>
      <c r="B76" s="81"/>
      <c r="C76" s="81"/>
      <c r="D76" s="81"/>
      <c r="E76" s="81"/>
      <c r="F76" s="26"/>
      <c r="G76" s="2">
        <v>2</v>
      </c>
      <c r="H76" s="2" t="s">
        <v>125</v>
      </c>
      <c r="I76" s="2">
        <v>7</v>
      </c>
      <c r="J76" s="2">
        <v>4</v>
      </c>
      <c r="K76" s="28">
        <f>J76/I76</f>
        <v>0.5714285714285714</v>
      </c>
      <c r="L76" s="26"/>
      <c r="M76" s="2">
        <v>2</v>
      </c>
      <c r="N76" s="32" t="s">
        <v>303</v>
      </c>
      <c r="O76" s="2">
        <v>13</v>
      </c>
      <c r="P76" s="2">
        <v>8</v>
      </c>
      <c r="Q76" s="28">
        <f>P76/O76</f>
        <v>0.61538461538461542</v>
      </c>
    </row>
    <row r="77" spans="1:17" x14ac:dyDescent="0.3">
      <c r="A77" s="81" t="s">
        <v>322</v>
      </c>
      <c r="B77" s="81"/>
      <c r="C77" s="81"/>
      <c r="D77" s="81"/>
      <c r="E77" s="81"/>
      <c r="F77" s="26"/>
      <c r="G77" s="2">
        <v>3</v>
      </c>
      <c r="H77" s="33" t="s">
        <v>128</v>
      </c>
      <c r="I77" s="2">
        <v>7</v>
      </c>
      <c r="J77" s="2">
        <v>4</v>
      </c>
      <c r="K77" s="28">
        <f>J77/I77</f>
        <v>0.5714285714285714</v>
      </c>
      <c r="L77" s="26"/>
      <c r="M77" s="2">
        <v>3</v>
      </c>
      <c r="N77" s="38" t="s">
        <v>299</v>
      </c>
      <c r="O77" s="2">
        <v>12</v>
      </c>
      <c r="P77" s="2">
        <v>7</v>
      </c>
      <c r="Q77" s="28">
        <f>P77/O77</f>
        <v>0.58333333333333337</v>
      </c>
    </row>
    <row r="78" spans="1:17" x14ac:dyDescent="0.3">
      <c r="A78" s="2" t="s">
        <v>103</v>
      </c>
      <c r="B78" s="2" t="s">
        <v>19</v>
      </c>
      <c r="C78" s="2" t="s">
        <v>140</v>
      </c>
      <c r="D78" s="2" t="s">
        <v>136</v>
      </c>
      <c r="E78" s="2" t="s">
        <v>106</v>
      </c>
      <c r="F78" s="26"/>
      <c r="G78" s="2">
        <v>4</v>
      </c>
      <c r="H78" s="29" t="s">
        <v>126</v>
      </c>
      <c r="I78" s="2">
        <v>11</v>
      </c>
      <c r="J78" s="2">
        <v>6</v>
      </c>
      <c r="K78" s="28">
        <f>J78/I78</f>
        <v>0.54545454545454541</v>
      </c>
      <c r="L78" s="26"/>
      <c r="M78" s="2">
        <v>4</v>
      </c>
      <c r="N78" s="30" t="s">
        <v>300</v>
      </c>
      <c r="O78" s="2">
        <v>11</v>
      </c>
      <c r="P78" s="2">
        <v>5</v>
      </c>
      <c r="Q78" s="28">
        <f>P78/O78</f>
        <v>0.45454545454545453</v>
      </c>
    </row>
    <row r="79" spans="1:17" x14ac:dyDescent="0.3">
      <c r="A79" s="2">
        <v>1</v>
      </c>
      <c r="B79" s="31" t="s">
        <v>123</v>
      </c>
      <c r="C79" s="2">
        <v>3</v>
      </c>
      <c r="D79" s="2">
        <v>3</v>
      </c>
      <c r="E79" s="28">
        <f>D79/C79</f>
        <v>1</v>
      </c>
      <c r="F79" s="26"/>
      <c r="G79" s="2">
        <v>5</v>
      </c>
      <c r="H79" s="32" t="s">
        <v>304</v>
      </c>
      <c r="I79" s="2">
        <v>11</v>
      </c>
      <c r="J79" s="2">
        <v>6</v>
      </c>
      <c r="K79" s="28">
        <f>J79/I79</f>
        <v>0.54545454545454541</v>
      </c>
      <c r="L79" s="26"/>
      <c r="M79" s="2">
        <v>5</v>
      </c>
      <c r="N79" s="27" t="s">
        <v>302</v>
      </c>
      <c r="O79" s="2">
        <v>6</v>
      </c>
      <c r="P79" s="2">
        <v>2</v>
      </c>
      <c r="Q79" s="28">
        <f>P79/O79</f>
        <v>0.33333333333333331</v>
      </c>
    </row>
    <row r="80" spans="1:17" x14ac:dyDescent="0.3">
      <c r="A80" s="2">
        <v>2</v>
      </c>
      <c r="B80" s="32" t="s">
        <v>304</v>
      </c>
      <c r="C80" s="2">
        <v>4</v>
      </c>
      <c r="D80" s="2">
        <v>2</v>
      </c>
      <c r="E80" s="28">
        <f>D80/C80</f>
        <v>0.5</v>
      </c>
      <c r="F80" s="26"/>
      <c r="G80" s="2">
        <v>6</v>
      </c>
      <c r="H80" s="29" t="s">
        <v>3</v>
      </c>
      <c r="I80" s="2">
        <v>5</v>
      </c>
      <c r="J80" s="2">
        <v>2</v>
      </c>
      <c r="K80" s="28">
        <f>J80/I80</f>
        <v>0.4</v>
      </c>
      <c r="L80" s="26"/>
      <c r="M80" s="2">
        <v>6</v>
      </c>
      <c r="N80" s="29" t="s">
        <v>130</v>
      </c>
      <c r="O80" s="2">
        <v>6</v>
      </c>
      <c r="P80" s="2">
        <v>2</v>
      </c>
      <c r="Q80" s="28">
        <f>P80/O80</f>
        <v>0.33333333333333331</v>
      </c>
    </row>
    <row r="81" spans="1:17" x14ac:dyDescent="0.3">
      <c r="A81" s="2">
        <v>3</v>
      </c>
      <c r="B81" s="2" t="s">
        <v>125</v>
      </c>
      <c r="C81" s="2">
        <v>2</v>
      </c>
      <c r="D81" s="2">
        <v>1</v>
      </c>
      <c r="E81" s="28">
        <f>D81/C81</f>
        <v>0.5</v>
      </c>
      <c r="F81" s="26"/>
      <c r="G81" s="2">
        <v>7</v>
      </c>
      <c r="H81" s="31" t="s">
        <v>123</v>
      </c>
      <c r="I81" s="2">
        <v>11</v>
      </c>
      <c r="J81" s="2">
        <v>4</v>
      </c>
      <c r="K81" s="28">
        <f>J81/I81</f>
        <v>0.36363636363636365</v>
      </c>
      <c r="L81" s="26"/>
      <c r="M81" s="2">
        <v>7</v>
      </c>
      <c r="N81" s="2" t="s">
        <v>223</v>
      </c>
      <c r="O81" s="2">
        <v>6</v>
      </c>
      <c r="P81" s="2">
        <v>2</v>
      </c>
      <c r="Q81" s="28">
        <f>P81/O81</f>
        <v>0.33333333333333331</v>
      </c>
    </row>
    <row r="82" spans="1:17" x14ac:dyDescent="0.3">
      <c r="A82" s="2">
        <v>4</v>
      </c>
      <c r="B82" s="29" t="s">
        <v>126</v>
      </c>
      <c r="C82" s="2">
        <v>2</v>
      </c>
      <c r="D82" s="2">
        <v>1</v>
      </c>
      <c r="E82" s="28">
        <f>D82/C82</f>
        <v>0.5</v>
      </c>
      <c r="F82" s="26"/>
      <c r="G82" s="2">
        <v>8</v>
      </c>
      <c r="H82" s="27" t="s">
        <v>127</v>
      </c>
      <c r="I82" s="2">
        <v>4</v>
      </c>
      <c r="J82" s="2">
        <v>1</v>
      </c>
      <c r="K82" s="28">
        <f>J82/I82</f>
        <v>0.25</v>
      </c>
      <c r="L82" s="26"/>
      <c r="M82" s="2">
        <v>8</v>
      </c>
      <c r="N82" s="33" t="s">
        <v>301</v>
      </c>
      <c r="O82" s="2">
        <v>5</v>
      </c>
      <c r="P82" s="2">
        <v>1</v>
      </c>
      <c r="Q82" s="28">
        <f>P82/O82</f>
        <v>0.2</v>
      </c>
    </row>
    <row r="83" spans="1:17" x14ac:dyDescent="0.3">
      <c r="A83" s="2">
        <v>5</v>
      </c>
      <c r="B83" s="33" t="s">
        <v>128</v>
      </c>
      <c r="C83" s="2">
        <v>3</v>
      </c>
      <c r="D83" s="2">
        <v>1</v>
      </c>
      <c r="E83" s="28">
        <f>D83/C83</f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7" x14ac:dyDescent="0.3">
      <c r="A84" s="2">
        <v>6</v>
      </c>
      <c r="B84" s="30" t="s">
        <v>4</v>
      </c>
      <c r="C84" s="2">
        <v>3</v>
      </c>
      <c r="D84" s="2">
        <v>1</v>
      </c>
      <c r="E84" s="28">
        <f>D84/C84</f>
        <v>0.33333333333333331</v>
      </c>
      <c r="F84" s="26"/>
      <c r="G84" s="89" t="s">
        <v>309</v>
      </c>
      <c r="H84" s="81"/>
      <c r="I84" s="81"/>
      <c r="J84" s="81"/>
      <c r="K84" s="81"/>
      <c r="L84" s="26"/>
      <c r="M84" s="89" t="s">
        <v>308</v>
      </c>
      <c r="N84" s="81"/>
      <c r="O84" s="81"/>
      <c r="P84" s="81"/>
      <c r="Q84" s="81"/>
    </row>
    <row r="85" spans="1:17" x14ac:dyDescent="0.3">
      <c r="A85" s="2">
        <v>7</v>
      </c>
      <c r="B85" s="27" t="s">
        <v>127</v>
      </c>
      <c r="C85" s="2">
        <v>1</v>
      </c>
      <c r="D85" s="2">
        <v>0</v>
      </c>
      <c r="E85" s="28">
        <f>D85/C85</f>
        <v>0</v>
      </c>
      <c r="F85" s="26"/>
      <c r="G85" s="81" t="s">
        <v>322</v>
      </c>
      <c r="H85" s="81"/>
      <c r="I85" s="81"/>
      <c r="J85" s="81"/>
      <c r="K85" s="81"/>
      <c r="L85" s="26"/>
      <c r="M85" s="81" t="s">
        <v>322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8" t="e">
        <f t="shared" ref="E86:E88" si="2">D86/C86</f>
        <v>#DIV/0!</v>
      </c>
      <c r="F86" s="26"/>
      <c r="G86" s="2" t="s">
        <v>103</v>
      </c>
      <c r="H86" s="2" t="s">
        <v>19</v>
      </c>
      <c r="I86" s="70" t="s">
        <v>310</v>
      </c>
      <c r="J86" s="70" t="s">
        <v>311</v>
      </c>
      <c r="K86" s="2" t="s">
        <v>106</v>
      </c>
      <c r="L86" s="26"/>
      <c r="M86" s="2" t="s">
        <v>103</v>
      </c>
      <c r="N86" s="2" t="s">
        <v>19</v>
      </c>
      <c r="O86" s="70" t="s">
        <v>312</v>
      </c>
      <c r="P86" s="70" t="s">
        <v>313</v>
      </c>
      <c r="Q86" s="2" t="s">
        <v>106</v>
      </c>
    </row>
    <row r="87" spans="1:17" x14ac:dyDescent="0.3">
      <c r="A87" s="2"/>
      <c r="B87" s="2"/>
      <c r="C87" s="2"/>
      <c r="D87" s="2"/>
      <c r="E87" s="28" t="e">
        <f t="shared" si="2"/>
        <v>#DIV/0!</v>
      </c>
      <c r="F87" s="26"/>
      <c r="G87" s="2">
        <v>1</v>
      </c>
      <c r="H87" s="30" t="s">
        <v>4</v>
      </c>
      <c r="I87" s="2">
        <v>1</v>
      </c>
      <c r="J87" s="2">
        <v>1</v>
      </c>
      <c r="K87" s="28">
        <f t="shared" ref="K87:K94" si="3">J87/I87</f>
        <v>1</v>
      </c>
      <c r="L87" s="26"/>
      <c r="M87" s="2">
        <v>1</v>
      </c>
      <c r="N87" s="27" t="s">
        <v>127</v>
      </c>
      <c r="O87" s="2">
        <v>1</v>
      </c>
      <c r="P87" s="2">
        <v>0</v>
      </c>
      <c r="Q87" s="28">
        <f t="shared" ref="Q87:Q94" si="4">P87/O87</f>
        <v>0</v>
      </c>
    </row>
    <row r="88" spans="1:17" x14ac:dyDescent="0.3">
      <c r="A88" s="2"/>
      <c r="B88" s="2"/>
      <c r="C88" s="2"/>
      <c r="D88" s="2"/>
      <c r="E88" s="28" t="e">
        <f t="shared" si="2"/>
        <v>#DIV/0!</v>
      </c>
      <c r="F88" s="26"/>
      <c r="G88" s="2">
        <v>2</v>
      </c>
      <c r="H88" s="29" t="s">
        <v>126</v>
      </c>
      <c r="I88" s="2">
        <v>2</v>
      </c>
      <c r="J88" s="2">
        <v>2</v>
      </c>
      <c r="K88" s="28">
        <f t="shared" si="3"/>
        <v>1</v>
      </c>
      <c r="L88" s="26"/>
      <c r="M88" s="2">
        <v>2</v>
      </c>
      <c r="N88" s="29" t="s">
        <v>3</v>
      </c>
      <c r="O88" s="2">
        <v>1</v>
      </c>
      <c r="P88" s="2">
        <v>0</v>
      </c>
      <c r="Q88" s="28">
        <f t="shared" si="4"/>
        <v>0</v>
      </c>
    </row>
    <row r="89" spans="1:17" x14ac:dyDescent="0.3">
      <c r="A89" s="26"/>
      <c r="B89" s="26"/>
      <c r="C89" s="26"/>
      <c r="D89" s="26"/>
      <c r="E89" s="26"/>
      <c r="F89" s="26"/>
      <c r="G89" s="2">
        <v>3</v>
      </c>
      <c r="H89" s="31" t="s">
        <v>123</v>
      </c>
      <c r="I89" s="2">
        <v>1</v>
      </c>
      <c r="J89" s="2">
        <v>1</v>
      </c>
      <c r="K89" s="28">
        <f t="shared" si="3"/>
        <v>1</v>
      </c>
      <c r="L89" s="26"/>
      <c r="M89" s="2">
        <v>3</v>
      </c>
      <c r="N89" s="2" t="s">
        <v>125</v>
      </c>
      <c r="O89" s="2">
        <v>1</v>
      </c>
      <c r="P89" s="2">
        <v>0</v>
      </c>
      <c r="Q89" s="28">
        <f>P89/O89</f>
        <v>0</v>
      </c>
    </row>
    <row r="90" spans="1:17" x14ac:dyDescent="0.3">
      <c r="A90" s="26"/>
      <c r="B90" s="26"/>
      <c r="C90" s="26"/>
      <c r="D90" s="26"/>
      <c r="E90" s="26"/>
      <c r="F90" s="26"/>
      <c r="G90" s="2">
        <v>4</v>
      </c>
      <c r="H90" s="32" t="s">
        <v>304</v>
      </c>
      <c r="I90" s="2">
        <v>2</v>
      </c>
      <c r="J90" s="2">
        <v>2</v>
      </c>
      <c r="K90" s="28">
        <f>J90/I90</f>
        <v>1</v>
      </c>
      <c r="L90" s="26"/>
      <c r="M90" s="2">
        <v>4</v>
      </c>
      <c r="N90" s="33" t="s">
        <v>128</v>
      </c>
      <c r="O90" s="2">
        <v>1</v>
      </c>
      <c r="P90" s="2">
        <v>0</v>
      </c>
      <c r="Q90" s="28">
        <f>P90/O90</f>
        <v>0</v>
      </c>
    </row>
    <row r="91" spans="1:17" x14ac:dyDescent="0.3">
      <c r="A91" s="26"/>
      <c r="B91" s="26"/>
      <c r="C91" s="26"/>
      <c r="D91" s="26"/>
      <c r="E91" s="26"/>
      <c r="F91" s="26"/>
      <c r="G91" s="2">
        <v>5</v>
      </c>
      <c r="H91" s="2" t="s">
        <v>125</v>
      </c>
      <c r="I91" s="2"/>
      <c r="J91" s="2"/>
      <c r="K91" s="28" t="e">
        <f>J91/I91</f>
        <v>#DIV/0!</v>
      </c>
      <c r="L91" s="26"/>
      <c r="M91" s="2">
        <v>5</v>
      </c>
      <c r="N91" s="31" t="s">
        <v>123</v>
      </c>
      <c r="O91" s="2">
        <v>1</v>
      </c>
      <c r="P91" s="2">
        <v>0</v>
      </c>
      <c r="Q91" s="28">
        <f>P91/O91</f>
        <v>0</v>
      </c>
    </row>
    <row r="92" spans="1:17" x14ac:dyDescent="0.3">
      <c r="G92" s="2">
        <v>6</v>
      </c>
      <c r="H92" s="33" t="s">
        <v>128</v>
      </c>
      <c r="I92" s="2"/>
      <c r="J92" s="2"/>
      <c r="K92" s="28" t="e">
        <f>J92/I92</f>
        <v>#DIV/0!</v>
      </c>
      <c r="M92" s="2">
        <v>6</v>
      </c>
      <c r="N92" s="30" t="s">
        <v>4</v>
      </c>
      <c r="O92" s="2">
        <v>1</v>
      </c>
      <c r="P92" s="2">
        <v>0</v>
      </c>
      <c r="Q92" s="28">
        <f>P92/O92</f>
        <v>0</v>
      </c>
    </row>
    <row r="93" spans="1:17" x14ac:dyDescent="0.3">
      <c r="G93" s="2">
        <v>7</v>
      </c>
      <c r="H93" s="27" t="s">
        <v>127</v>
      </c>
      <c r="I93" s="2"/>
      <c r="J93" s="2"/>
      <c r="K93" s="28" t="e">
        <f>J93/I93</f>
        <v>#DIV/0!</v>
      </c>
      <c r="M93" s="2">
        <v>7</v>
      </c>
      <c r="N93" s="29" t="s">
        <v>126</v>
      </c>
      <c r="O93" s="2"/>
      <c r="P93" s="2"/>
      <c r="Q93" s="28" t="e">
        <f>P93/O93</f>
        <v>#DIV/0!</v>
      </c>
    </row>
    <row r="94" spans="1:17" x14ac:dyDescent="0.3">
      <c r="G94" s="2">
        <v>8</v>
      </c>
      <c r="H94" s="29" t="s">
        <v>3</v>
      </c>
      <c r="I94" s="2"/>
      <c r="J94" s="2"/>
      <c r="K94" s="28" t="e">
        <f t="shared" si="3"/>
        <v>#DIV/0!</v>
      </c>
      <c r="M94" s="2">
        <v>8</v>
      </c>
      <c r="N94" s="32" t="s">
        <v>304</v>
      </c>
      <c r="O94" s="2"/>
      <c r="P94" s="2"/>
      <c r="Q94" s="28" t="e">
        <f t="shared" si="4"/>
        <v>#DIV/0!</v>
      </c>
    </row>
    <row r="95" spans="1:17" x14ac:dyDescent="0.3">
      <c r="G95" s="90"/>
      <c r="H95" s="90"/>
      <c r="I95" s="90"/>
      <c r="J95" s="90"/>
      <c r="K95" s="90"/>
    </row>
    <row r="96" spans="1:17" x14ac:dyDescent="0.3">
      <c r="G96" s="91"/>
      <c r="H96" s="91"/>
      <c r="I96" s="91"/>
      <c r="J96" s="91"/>
      <c r="K96" s="91"/>
    </row>
  </sheetData>
  <sortState xmlns:xlrd2="http://schemas.microsoft.com/office/spreadsheetml/2017/richdata2" ref="B62:E68">
    <sortCondition descending="1" ref="E61:E68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G59:K59"/>
    <mergeCell ref="G60:K60"/>
    <mergeCell ref="G72:K72"/>
    <mergeCell ref="A1:E1"/>
    <mergeCell ref="A2:E2"/>
    <mergeCell ref="A13:E13"/>
    <mergeCell ref="A14:E14"/>
    <mergeCell ref="A34:E34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40" workbookViewId="0">
      <selection activeCell="K1" sqref="K1:P45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95</v>
      </c>
      <c r="B1" s="86"/>
      <c r="C1" s="86"/>
      <c r="D1" s="86"/>
      <c r="E1" s="86"/>
      <c r="F1" s="86"/>
      <c r="G1" s="86"/>
      <c r="H1" s="86"/>
      <c r="I1" s="86"/>
      <c r="K1" s="82" t="s">
        <v>238</v>
      </c>
      <c r="L1" s="82"/>
      <c r="M1" s="82"/>
      <c r="N1" s="81" t="s">
        <v>264</v>
      </c>
      <c r="O1" s="81"/>
      <c r="P1" s="81"/>
    </row>
    <row r="2" spans="1:16" ht="14.5" x14ac:dyDescent="0.3">
      <c r="A2" s="87" t="s">
        <v>316</v>
      </c>
      <c r="B2" s="86"/>
      <c r="C2" s="86"/>
      <c r="D2" s="86"/>
      <c r="E2" s="86"/>
      <c r="F2" s="86"/>
      <c r="G2" s="86"/>
      <c r="H2" s="86"/>
      <c r="I2" s="86"/>
      <c r="K2" s="22" t="s">
        <v>1</v>
      </c>
      <c r="L2" s="22" t="s">
        <v>239</v>
      </c>
      <c r="M2" s="49" t="s">
        <v>0</v>
      </c>
      <c r="N2" s="1" t="s">
        <v>265</v>
      </c>
      <c r="O2" s="1" t="s">
        <v>19</v>
      </c>
      <c r="P2" s="1" t="s">
        <v>241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1" t="s">
        <v>123</v>
      </c>
      <c r="L3" s="2">
        <v>11</v>
      </c>
      <c r="M3" s="2">
        <v>1</v>
      </c>
      <c r="N3" s="81" t="s">
        <v>325</v>
      </c>
      <c r="O3" s="31" t="s">
        <v>123</v>
      </c>
      <c r="P3" s="1">
        <v>8</v>
      </c>
    </row>
    <row r="4" spans="1:16" ht="14.5" x14ac:dyDescent="0.3">
      <c r="A4" s="83" t="s">
        <v>25</v>
      </c>
      <c r="B4" s="1" t="s">
        <v>26</v>
      </c>
      <c r="C4" s="3" t="s">
        <v>166</v>
      </c>
      <c r="D4" s="38" t="s">
        <v>167</v>
      </c>
      <c r="E4" s="39" t="s">
        <v>168</v>
      </c>
      <c r="F4" s="40" t="s">
        <v>169</v>
      </c>
      <c r="G4" s="1" t="s">
        <v>267</v>
      </c>
      <c r="H4" s="39" t="s">
        <v>170</v>
      </c>
      <c r="I4" s="1" t="s">
        <v>171</v>
      </c>
      <c r="K4" s="29" t="s">
        <v>126</v>
      </c>
      <c r="L4" s="2">
        <v>10</v>
      </c>
      <c r="M4" s="2">
        <v>2</v>
      </c>
      <c r="N4" s="81"/>
      <c r="O4" s="29" t="s">
        <v>126</v>
      </c>
      <c r="P4" s="1">
        <v>4</v>
      </c>
    </row>
    <row r="5" spans="1:16" ht="14.5" x14ac:dyDescent="0.3">
      <c r="A5" s="84"/>
      <c r="B5" s="1" t="s">
        <v>28</v>
      </c>
      <c r="C5" s="3" t="s">
        <v>215</v>
      </c>
      <c r="D5" s="30" t="s">
        <v>4</v>
      </c>
      <c r="E5" s="5" t="s">
        <v>29</v>
      </c>
      <c r="F5" s="6" t="s">
        <v>30</v>
      </c>
      <c r="G5" s="1" t="s">
        <v>267</v>
      </c>
      <c r="H5" s="7" t="s">
        <v>31</v>
      </c>
      <c r="I5" s="71" t="s">
        <v>324</v>
      </c>
      <c r="K5" s="30" t="s">
        <v>4</v>
      </c>
      <c r="L5" s="2">
        <v>4</v>
      </c>
      <c r="M5" s="2">
        <v>3</v>
      </c>
      <c r="N5" s="81"/>
      <c r="O5" s="1" t="s">
        <v>195</v>
      </c>
      <c r="P5" s="1">
        <v>2</v>
      </c>
    </row>
    <row r="6" spans="1:16" ht="14.5" x14ac:dyDescent="0.3">
      <c r="A6" s="84"/>
      <c r="B6" s="1" t="s">
        <v>32</v>
      </c>
      <c r="C6" s="3" t="s">
        <v>173</v>
      </c>
      <c r="D6" s="38" t="s">
        <v>167</v>
      </c>
      <c r="E6" s="18" t="s">
        <v>56</v>
      </c>
      <c r="F6" s="6" t="s">
        <v>30</v>
      </c>
      <c r="G6" s="1" t="s">
        <v>269</v>
      </c>
      <c r="H6" s="8" t="s">
        <v>33</v>
      </c>
      <c r="I6" s="1" t="s">
        <v>174</v>
      </c>
      <c r="K6" s="1" t="s">
        <v>195</v>
      </c>
      <c r="L6" s="2">
        <v>3</v>
      </c>
      <c r="M6" s="2">
        <v>4</v>
      </c>
      <c r="N6" s="81"/>
      <c r="O6" s="1" t="s">
        <v>223</v>
      </c>
      <c r="P6" s="1">
        <v>2</v>
      </c>
    </row>
    <row r="7" spans="1:16" ht="14.5" x14ac:dyDescent="0.3">
      <c r="A7" s="84"/>
      <c r="B7" s="1" t="s">
        <v>34</v>
      </c>
      <c r="C7" s="3" t="s">
        <v>175</v>
      </c>
      <c r="D7" s="32" t="s">
        <v>176</v>
      </c>
      <c r="E7" s="12" t="s">
        <v>43</v>
      </c>
      <c r="F7" s="9" t="s">
        <v>35</v>
      </c>
      <c r="G7" s="1" t="s">
        <v>269</v>
      </c>
      <c r="H7" s="7" t="s">
        <v>31</v>
      </c>
      <c r="I7" s="1" t="s">
        <v>177</v>
      </c>
      <c r="K7" s="32" t="s">
        <v>12</v>
      </c>
      <c r="L7" s="2">
        <v>3</v>
      </c>
      <c r="M7" s="2">
        <v>5</v>
      </c>
      <c r="N7" s="81"/>
      <c r="O7" s="27" t="s">
        <v>127</v>
      </c>
      <c r="P7" s="2">
        <v>1</v>
      </c>
    </row>
    <row r="8" spans="1:16" ht="14.5" x14ac:dyDescent="0.3">
      <c r="A8" s="84"/>
      <c r="B8" s="1" t="s">
        <v>36</v>
      </c>
      <c r="C8" s="3" t="s">
        <v>292</v>
      </c>
      <c r="D8" s="29" t="s">
        <v>126</v>
      </c>
      <c r="E8" s="41" t="s">
        <v>178</v>
      </c>
      <c r="F8" s="6" t="s">
        <v>30</v>
      </c>
      <c r="G8" s="1" t="s">
        <v>266</v>
      </c>
      <c r="H8" s="41" t="s">
        <v>179</v>
      </c>
      <c r="I8" s="1" t="s">
        <v>285</v>
      </c>
      <c r="K8" s="31" t="s">
        <v>111</v>
      </c>
      <c r="L8" s="2">
        <v>3</v>
      </c>
      <c r="M8" s="2">
        <v>6</v>
      </c>
      <c r="N8" s="81"/>
      <c r="O8" s="32" t="s">
        <v>12</v>
      </c>
      <c r="P8" s="1">
        <v>1</v>
      </c>
    </row>
    <row r="9" spans="1:16" ht="14.5" x14ac:dyDescent="0.3">
      <c r="A9" s="84"/>
      <c r="B9" s="1" t="s">
        <v>40</v>
      </c>
      <c r="C9" s="3" t="s">
        <v>287</v>
      </c>
      <c r="D9" s="32" t="s">
        <v>12</v>
      </c>
      <c r="E9" s="77" t="s">
        <v>288</v>
      </c>
      <c r="F9" s="42" t="s">
        <v>180</v>
      </c>
      <c r="G9" s="1" t="s">
        <v>266</v>
      </c>
      <c r="H9" s="7" t="s">
        <v>31</v>
      </c>
      <c r="I9" s="1" t="s">
        <v>285</v>
      </c>
      <c r="K9" s="1" t="s">
        <v>223</v>
      </c>
      <c r="L9" s="2">
        <v>2</v>
      </c>
      <c r="M9" s="2">
        <v>7</v>
      </c>
      <c r="N9" s="81"/>
      <c r="O9" s="33" t="s">
        <v>113</v>
      </c>
      <c r="P9" s="1">
        <v>1</v>
      </c>
    </row>
    <row r="10" spans="1:16" ht="14.5" x14ac:dyDescent="0.3">
      <c r="A10" s="84"/>
      <c r="B10" s="1" t="s">
        <v>42</v>
      </c>
      <c r="C10" s="3" t="s">
        <v>181</v>
      </c>
      <c r="D10" s="38" t="s">
        <v>167</v>
      </c>
      <c r="E10" s="20" t="s">
        <v>182</v>
      </c>
      <c r="F10" s="42" t="s">
        <v>180</v>
      </c>
      <c r="G10" s="1" t="s">
        <v>269</v>
      </c>
      <c r="H10" s="7" t="s">
        <v>31</v>
      </c>
      <c r="I10" s="1" t="s">
        <v>183</v>
      </c>
      <c r="K10" s="27" t="s">
        <v>127</v>
      </c>
      <c r="L10" s="2">
        <v>1</v>
      </c>
      <c r="M10" s="2">
        <v>8</v>
      </c>
      <c r="N10" s="81"/>
      <c r="O10" s="32" t="s">
        <v>112</v>
      </c>
      <c r="P10" s="1">
        <v>1</v>
      </c>
    </row>
    <row r="11" spans="1:16" ht="14.5" x14ac:dyDescent="0.3">
      <c r="A11" s="84"/>
      <c r="B11" s="1" t="s">
        <v>44</v>
      </c>
      <c r="C11" s="3" t="s">
        <v>323</v>
      </c>
      <c r="D11" s="32" t="s">
        <v>12</v>
      </c>
      <c r="E11" s="13" t="s">
        <v>45</v>
      </c>
      <c r="F11" s="48" t="s">
        <v>229</v>
      </c>
      <c r="G11" s="1" t="s">
        <v>267</v>
      </c>
      <c r="H11" s="13" t="s">
        <v>47</v>
      </c>
      <c r="I11" s="71" t="s">
        <v>324</v>
      </c>
      <c r="K11" s="33" t="s">
        <v>113</v>
      </c>
      <c r="L11" s="2">
        <v>1</v>
      </c>
      <c r="M11" s="2">
        <v>9</v>
      </c>
      <c r="N11" s="81"/>
      <c r="O11" s="31" t="s">
        <v>111</v>
      </c>
      <c r="P11" s="1">
        <v>1</v>
      </c>
    </row>
    <row r="12" spans="1:16" ht="14.5" x14ac:dyDescent="0.3">
      <c r="A12" s="84"/>
      <c r="B12" s="1" t="s">
        <v>48</v>
      </c>
      <c r="C12" s="3" t="s">
        <v>184</v>
      </c>
      <c r="D12" s="33" t="s">
        <v>113</v>
      </c>
      <c r="E12" s="41" t="s">
        <v>185</v>
      </c>
      <c r="F12" s="6" t="s">
        <v>30</v>
      </c>
      <c r="G12" s="1" t="s">
        <v>266</v>
      </c>
      <c r="H12" s="41" t="s">
        <v>179</v>
      </c>
      <c r="I12" s="1" t="s">
        <v>186</v>
      </c>
      <c r="K12" s="32" t="s">
        <v>112</v>
      </c>
      <c r="L12" s="2">
        <v>1</v>
      </c>
      <c r="M12" s="2">
        <v>10</v>
      </c>
      <c r="N12" s="81"/>
      <c r="O12" s="29" t="s">
        <v>200</v>
      </c>
      <c r="P12" s="1">
        <v>1</v>
      </c>
    </row>
    <row r="13" spans="1:16" ht="14.5" x14ac:dyDescent="0.3">
      <c r="A13" s="84"/>
      <c r="B13" s="1" t="s">
        <v>49</v>
      </c>
      <c r="C13" s="3" t="s">
        <v>188</v>
      </c>
      <c r="D13" s="29" t="s">
        <v>126</v>
      </c>
      <c r="E13" s="12" t="s">
        <v>43</v>
      </c>
      <c r="F13" s="6" t="s">
        <v>30</v>
      </c>
      <c r="G13" s="1" t="s">
        <v>269</v>
      </c>
      <c r="H13" s="7" t="s">
        <v>31</v>
      </c>
      <c r="I13" s="1" t="s">
        <v>189</v>
      </c>
      <c r="K13" s="32" t="s">
        <v>176</v>
      </c>
      <c r="L13" s="2">
        <v>1</v>
      </c>
      <c r="M13" s="2">
        <v>11</v>
      </c>
      <c r="N13" s="81"/>
      <c r="O13" s="29" t="s">
        <v>284</v>
      </c>
      <c r="P13" s="75">
        <v>1</v>
      </c>
    </row>
    <row r="14" spans="1:16" ht="14.5" x14ac:dyDescent="0.3">
      <c r="A14" s="84"/>
      <c r="B14" s="1" t="s">
        <v>50</v>
      </c>
      <c r="C14" s="3" t="s">
        <v>320</v>
      </c>
      <c r="D14" s="31" t="s">
        <v>123</v>
      </c>
      <c r="E14" s="43" t="s">
        <v>190</v>
      </c>
      <c r="F14" s="6" t="s">
        <v>30</v>
      </c>
      <c r="G14" s="1" t="s">
        <v>266</v>
      </c>
      <c r="H14" s="43" t="s">
        <v>191</v>
      </c>
      <c r="I14" s="1" t="s">
        <v>317</v>
      </c>
      <c r="K14" s="29" t="s">
        <v>200</v>
      </c>
      <c r="L14" s="2">
        <v>1</v>
      </c>
      <c r="M14" s="2">
        <v>12</v>
      </c>
      <c r="N14" s="81"/>
      <c r="O14" s="1" t="s">
        <v>290</v>
      </c>
      <c r="P14" s="1">
        <v>1</v>
      </c>
    </row>
    <row r="15" spans="1:16" ht="14.5" x14ac:dyDescent="0.3">
      <c r="A15" s="84"/>
      <c r="B15" s="1" t="s">
        <v>52</v>
      </c>
      <c r="C15" s="3" t="s">
        <v>192</v>
      </c>
      <c r="D15" s="29" t="s">
        <v>126</v>
      </c>
      <c r="E15" s="17" t="s">
        <v>53</v>
      </c>
      <c r="F15" s="1" t="s">
        <v>35</v>
      </c>
      <c r="G15" s="1" t="s">
        <v>269</v>
      </c>
      <c r="H15" s="7" t="s">
        <v>31</v>
      </c>
      <c r="I15" s="1" t="s">
        <v>174</v>
      </c>
      <c r="K15" s="1" t="s">
        <v>290</v>
      </c>
      <c r="L15" s="2">
        <v>1</v>
      </c>
      <c r="M15" s="2">
        <v>13</v>
      </c>
      <c r="N15" s="81" t="s">
        <v>326</v>
      </c>
      <c r="O15" s="73" t="s">
        <v>126</v>
      </c>
      <c r="P15" s="74">
        <v>6</v>
      </c>
    </row>
    <row r="16" spans="1:16" ht="14.5" x14ac:dyDescent="0.3">
      <c r="A16" s="84"/>
      <c r="B16" s="19" t="s">
        <v>101</v>
      </c>
      <c r="C16" s="3" t="s">
        <v>286</v>
      </c>
      <c r="D16" s="29" t="s">
        <v>284</v>
      </c>
      <c r="E16" s="5" t="s">
        <v>29</v>
      </c>
      <c r="F16" s="6" t="s">
        <v>30</v>
      </c>
      <c r="G16" s="1" t="s">
        <v>266</v>
      </c>
      <c r="H16" s="7" t="s">
        <v>31</v>
      </c>
      <c r="I16" s="1" t="s">
        <v>285</v>
      </c>
      <c r="K16" s="29" t="s">
        <v>284</v>
      </c>
      <c r="L16" s="2">
        <v>1</v>
      </c>
      <c r="M16" s="2">
        <v>14</v>
      </c>
      <c r="N16" s="81"/>
      <c r="O16" s="30" t="s">
        <v>4</v>
      </c>
      <c r="P16" s="1">
        <v>4</v>
      </c>
    </row>
    <row r="17" spans="1:17" ht="14.5" x14ac:dyDescent="0.3">
      <c r="A17" s="84"/>
      <c r="B17" s="19" t="s">
        <v>102</v>
      </c>
      <c r="C17" s="3" t="s">
        <v>306</v>
      </c>
      <c r="D17" s="27" t="s">
        <v>127</v>
      </c>
      <c r="E17" s="41" t="s">
        <v>178</v>
      </c>
      <c r="F17" s="48" t="s">
        <v>229</v>
      </c>
      <c r="G17" s="1" t="s">
        <v>266</v>
      </c>
      <c r="H17" s="41" t="s">
        <v>179</v>
      </c>
      <c r="I17" s="1" t="s">
        <v>307</v>
      </c>
      <c r="K17" s="29" t="s">
        <v>3</v>
      </c>
      <c r="L17" s="2">
        <v>1</v>
      </c>
      <c r="M17" s="2">
        <v>15</v>
      </c>
      <c r="N17" s="81"/>
      <c r="O17" s="31" t="s">
        <v>123</v>
      </c>
      <c r="P17" s="1">
        <v>3</v>
      </c>
    </row>
    <row r="18" spans="1:17" ht="14.5" x14ac:dyDescent="0.3">
      <c r="A18" s="84"/>
      <c r="B18" s="19" t="s">
        <v>97</v>
      </c>
      <c r="C18" s="3" t="s">
        <v>315</v>
      </c>
      <c r="D18" s="29" t="s">
        <v>3</v>
      </c>
      <c r="E18" s="10" t="s">
        <v>37</v>
      </c>
      <c r="F18" s="6" t="s">
        <v>30</v>
      </c>
      <c r="G18" s="1" t="s">
        <v>267</v>
      </c>
      <c r="H18" s="10" t="s">
        <v>39</v>
      </c>
      <c r="I18" s="1" t="s">
        <v>307</v>
      </c>
      <c r="K18" s="33"/>
      <c r="L18" s="2"/>
      <c r="M18" s="2">
        <v>16</v>
      </c>
      <c r="N18" s="81"/>
      <c r="O18" s="31" t="s">
        <v>111</v>
      </c>
      <c r="P18" s="1">
        <v>2</v>
      </c>
      <c r="Q18" s="62"/>
    </row>
    <row r="19" spans="1:17" ht="14.5" x14ac:dyDescent="0.3">
      <c r="A19" s="84"/>
      <c r="B19" s="19" t="s">
        <v>98</v>
      </c>
      <c r="C19" s="3" t="s">
        <v>194</v>
      </c>
      <c r="D19" s="1" t="s">
        <v>195</v>
      </c>
      <c r="E19" s="5" t="s">
        <v>29</v>
      </c>
      <c r="F19" s="1" t="s">
        <v>35</v>
      </c>
      <c r="G19" s="1" t="s">
        <v>266</v>
      </c>
      <c r="H19" s="5" t="s">
        <v>198</v>
      </c>
      <c r="I19" s="1" t="s">
        <v>197</v>
      </c>
      <c r="N19" s="81"/>
      <c r="O19" s="32" t="s">
        <v>12</v>
      </c>
      <c r="P19" s="1">
        <v>2</v>
      </c>
      <c r="Q19" s="62"/>
    </row>
    <row r="20" spans="1:17" ht="14.5" x14ac:dyDescent="0.3">
      <c r="A20" s="85"/>
      <c r="B20" s="19" t="s">
        <v>99</v>
      </c>
      <c r="C20" s="3"/>
      <c r="D20" s="16"/>
      <c r="E20" s="17"/>
      <c r="F20" s="1"/>
      <c r="G20" s="1"/>
      <c r="H20" s="7"/>
      <c r="I20" s="1"/>
      <c r="N20" s="81"/>
      <c r="O20" s="1" t="s">
        <v>195</v>
      </c>
      <c r="P20" s="1">
        <v>1</v>
      </c>
      <c r="Q20" s="62"/>
    </row>
    <row r="21" spans="1:17" ht="14.5" x14ac:dyDescent="0.3">
      <c r="A21" s="88" t="s">
        <v>54</v>
      </c>
      <c r="B21" s="1" t="s">
        <v>55</v>
      </c>
      <c r="C21" s="3" t="s">
        <v>199</v>
      </c>
      <c r="D21" s="29" t="s">
        <v>200</v>
      </c>
      <c r="E21" s="41" t="s">
        <v>178</v>
      </c>
      <c r="F21" s="42" t="s">
        <v>180</v>
      </c>
      <c r="G21" s="1" t="s">
        <v>266</v>
      </c>
      <c r="H21" s="41" t="s">
        <v>179</v>
      </c>
      <c r="I21" s="1" t="s">
        <v>187</v>
      </c>
      <c r="N21" s="81"/>
      <c r="O21" s="32" t="s">
        <v>176</v>
      </c>
      <c r="P21" s="1">
        <v>1</v>
      </c>
      <c r="Q21" s="62"/>
    </row>
    <row r="22" spans="1:17" ht="14.5" x14ac:dyDescent="0.3">
      <c r="A22" s="84"/>
      <c r="B22" s="19" t="s">
        <v>57</v>
      </c>
      <c r="C22" s="3" t="s">
        <v>202</v>
      </c>
      <c r="D22" s="1" t="s">
        <v>201</v>
      </c>
      <c r="E22" s="10" t="s">
        <v>37</v>
      </c>
      <c r="F22" s="14" t="s">
        <v>46</v>
      </c>
      <c r="G22" s="1" t="s">
        <v>268</v>
      </c>
      <c r="H22" s="10" t="s">
        <v>39</v>
      </c>
      <c r="I22" s="1" t="s">
        <v>203</v>
      </c>
      <c r="N22" s="81"/>
      <c r="O22" s="29" t="s">
        <v>3</v>
      </c>
      <c r="P22" s="1">
        <v>1</v>
      </c>
      <c r="Q22" s="62"/>
    </row>
    <row r="23" spans="1:17" ht="14.5" x14ac:dyDescent="0.3">
      <c r="A23" s="84"/>
      <c r="B23" s="1" t="s">
        <v>58</v>
      </c>
      <c r="C23" s="3" t="s">
        <v>319</v>
      </c>
      <c r="D23" s="31" t="s">
        <v>123</v>
      </c>
      <c r="E23" s="45" t="s">
        <v>204</v>
      </c>
      <c r="F23" s="42" t="s">
        <v>180</v>
      </c>
      <c r="G23" s="1" t="s">
        <v>266</v>
      </c>
      <c r="H23" s="7" t="s">
        <v>31</v>
      </c>
      <c r="I23" s="1" t="s">
        <v>317</v>
      </c>
      <c r="N23" s="81"/>
      <c r="O23" s="33"/>
      <c r="P23" s="1"/>
      <c r="Q23" s="62"/>
    </row>
    <row r="24" spans="1:17" ht="14.5" x14ac:dyDescent="0.3">
      <c r="A24" s="84"/>
      <c r="B24" s="1" t="s">
        <v>59</v>
      </c>
      <c r="C24" s="3" t="s">
        <v>318</v>
      </c>
      <c r="D24" s="31" t="s">
        <v>123</v>
      </c>
      <c r="E24" s="12" t="s">
        <v>43</v>
      </c>
      <c r="F24" s="46" t="s">
        <v>216</v>
      </c>
      <c r="G24" s="1" t="s">
        <v>266</v>
      </c>
      <c r="H24" s="7" t="s">
        <v>31</v>
      </c>
      <c r="I24" s="1" t="s">
        <v>317</v>
      </c>
      <c r="N24" s="81"/>
      <c r="O24" s="32"/>
      <c r="P24" s="1"/>
      <c r="Q24" s="62"/>
    </row>
    <row r="25" spans="1:17" ht="14.5" x14ac:dyDescent="0.3">
      <c r="A25" s="84"/>
      <c r="B25" s="19" t="s">
        <v>60</v>
      </c>
      <c r="C25" s="3" t="s">
        <v>321</v>
      </c>
      <c r="D25" s="38" t="s">
        <v>299</v>
      </c>
      <c r="E25" s="45" t="s">
        <v>204</v>
      </c>
      <c r="F25" s="42" t="s">
        <v>180</v>
      </c>
      <c r="G25" s="1" t="s">
        <v>267</v>
      </c>
      <c r="H25" s="7" t="s">
        <v>31</v>
      </c>
      <c r="I25" s="1" t="s">
        <v>317</v>
      </c>
      <c r="Q25" s="62"/>
    </row>
    <row r="26" spans="1:17" ht="14.5" x14ac:dyDescent="0.3">
      <c r="A26" s="84"/>
      <c r="B26" s="19" t="s">
        <v>61</v>
      </c>
      <c r="C26" s="3" t="s">
        <v>206</v>
      </c>
      <c r="D26" s="1" t="s">
        <v>195</v>
      </c>
      <c r="E26" s="20" t="s">
        <v>62</v>
      </c>
      <c r="F26" s="1" t="s">
        <v>35</v>
      </c>
      <c r="G26" s="1" t="s">
        <v>266</v>
      </c>
      <c r="H26" s="20" t="s">
        <v>63</v>
      </c>
      <c r="I26" s="1" t="s">
        <v>207</v>
      </c>
      <c r="Q26" s="62"/>
    </row>
    <row r="27" spans="1:17" ht="14.5" x14ac:dyDescent="0.3">
      <c r="A27" s="84"/>
      <c r="B27" s="19" t="s">
        <v>64</v>
      </c>
      <c r="C27" s="3" t="s">
        <v>208</v>
      </c>
      <c r="D27" s="29" t="s">
        <v>126</v>
      </c>
      <c r="E27" s="41" t="s">
        <v>178</v>
      </c>
      <c r="F27" s="14" t="s">
        <v>46</v>
      </c>
      <c r="G27" s="1" t="s">
        <v>267</v>
      </c>
      <c r="H27" s="41" t="s">
        <v>179</v>
      </c>
      <c r="I27" s="1" t="s">
        <v>209</v>
      </c>
      <c r="Q27" s="62"/>
    </row>
    <row r="28" spans="1:17" ht="14.5" x14ac:dyDescent="0.3">
      <c r="A28" s="84"/>
      <c r="B28" s="19" t="s">
        <v>65</v>
      </c>
      <c r="C28" s="3" t="s">
        <v>210</v>
      </c>
      <c r="D28" s="38" t="s">
        <v>167</v>
      </c>
      <c r="E28" s="12" t="s">
        <v>43</v>
      </c>
      <c r="F28" s="42" t="s">
        <v>180</v>
      </c>
      <c r="G28" s="1" t="s">
        <v>266</v>
      </c>
      <c r="H28" s="44" t="s">
        <v>211</v>
      </c>
      <c r="I28" s="1" t="s">
        <v>207</v>
      </c>
      <c r="K28" s="79" t="s">
        <v>240</v>
      </c>
      <c r="L28" s="80"/>
      <c r="M28" s="79" t="s">
        <v>254</v>
      </c>
      <c r="N28" s="80"/>
      <c r="O28" s="79" t="s">
        <v>260</v>
      </c>
      <c r="P28" s="80"/>
      <c r="Q28" s="62"/>
    </row>
    <row r="29" spans="1:17" ht="14.5" x14ac:dyDescent="0.3">
      <c r="A29" s="84"/>
      <c r="B29" s="19" t="s">
        <v>67</v>
      </c>
      <c r="C29" s="3" t="s">
        <v>212</v>
      </c>
      <c r="D29" s="29" t="s">
        <v>126</v>
      </c>
      <c r="E29" s="10" t="s">
        <v>37</v>
      </c>
      <c r="F29" s="42" t="s">
        <v>180</v>
      </c>
      <c r="G29" s="1" t="s">
        <v>269</v>
      </c>
      <c r="H29" s="10" t="s">
        <v>39</v>
      </c>
      <c r="I29" s="1" t="s">
        <v>196</v>
      </c>
      <c r="K29" s="2" t="s">
        <v>20</v>
      </c>
      <c r="L29" s="2" t="s">
        <v>241</v>
      </c>
      <c r="M29" s="2" t="s">
        <v>21</v>
      </c>
      <c r="N29" s="2" t="s">
        <v>241</v>
      </c>
      <c r="O29" s="2" t="s">
        <v>23</v>
      </c>
      <c r="P29" s="2" t="s">
        <v>241</v>
      </c>
      <c r="Q29" s="62"/>
    </row>
    <row r="30" spans="1:17" ht="14.5" x14ac:dyDescent="0.3">
      <c r="A30" s="84"/>
      <c r="B30" s="19" t="s">
        <v>68</v>
      </c>
      <c r="C30" s="3" t="s">
        <v>213</v>
      </c>
      <c r="D30" s="13" t="s">
        <v>69</v>
      </c>
      <c r="E30" s="18" t="s">
        <v>56</v>
      </c>
      <c r="F30" s="1" t="s">
        <v>35</v>
      </c>
      <c r="G30" s="1" t="s">
        <v>267</v>
      </c>
      <c r="H30" s="8" t="s">
        <v>33</v>
      </c>
      <c r="I30" s="1" t="s">
        <v>214</v>
      </c>
      <c r="K30" s="55" t="s">
        <v>244</v>
      </c>
      <c r="L30" s="2">
        <v>6</v>
      </c>
      <c r="M30" s="63" t="s">
        <v>30</v>
      </c>
      <c r="N30" s="2">
        <v>9</v>
      </c>
      <c r="O30" s="7" t="s">
        <v>31</v>
      </c>
      <c r="P30" s="2">
        <v>13</v>
      </c>
      <c r="Q30" s="62"/>
    </row>
    <row r="31" spans="1:17" ht="14.5" x14ac:dyDescent="0.3">
      <c r="A31" s="84"/>
      <c r="B31" s="19" t="s">
        <v>70</v>
      </c>
      <c r="C31" s="3" t="s">
        <v>215</v>
      </c>
      <c r="D31" s="31" t="s">
        <v>123</v>
      </c>
      <c r="E31" s="43" t="s">
        <v>190</v>
      </c>
      <c r="F31" s="46" t="s">
        <v>216</v>
      </c>
      <c r="G31" s="1" t="s">
        <v>266</v>
      </c>
      <c r="H31" s="43" t="s">
        <v>191</v>
      </c>
      <c r="I31" s="1" t="s">
        <v>205</v>
      </c>
      <c r="K31" s="53" t="s">
        <v>242</v>
      </c>
      <c r="L31" s="2">
        <v>6</v>
      </c>
      <c r="M31" s="30" t="s">
        <v>255</v>
      </c>
      <c r="N31" s="2">
        <v>8</v>
      </c>
      <c r="O31" s="41" t="s">
        <v>179</v>
      </c>
      <c r="P31" s="2">
        <v>6</v>
      </c>
      <c r="Q31" s="62"/>
    </row>
    <row r="32" spans="1:17" ht="14.5" x14ac:dyDescent="0.3">
      <c r="A32" s="84"/>
      <c r="B32" s="19" t="s">
        <v>71</v>
      </c>
      <c r="C32" s="3" t="s">
        <v>281</v>
      </c>
      <c r="D32" s="31" t="s">
        <v>123</v>
      </c>
      <c r="E32" s="76" t="s">
        <v>282</v>
      </c>
      <c r="F32" s="46" t="s">
        <v>216</v>
      </c>
      <c r="G32" s="1" t="s">
        <v>266</v>
      </c>
      <c r="H32" s="76" t="s">
        <v>283</v>
      </c>
      <c r="I32" s="1" t="s">
        <v>280</v>
      </c>
      <c r="K32" s="54" t="s">
        <v>243</v>
      </c>
      <c r="L32" s="2">
        <v>5</v>
      </c>
      <c r="M32" s="2" t="s">
        <v>35</v>
      </c>
      <c r="N32" s="2">
        <v>7</v>
      </c>
      <c r="O32" s="10" t="s">
        <v>39</v>
      </c>
      <c r="P32" s="2">
        <v>6</v>
      </c>
      <c r="Q32" s="62"/>
    </row>
    <row r="33" spans="1:17" ht="14.5" x14ac:dyDescent="0.3">
      <c r="A33" s="84"/>
      <c r="B33" s="19" t="s">
        <v>72</v>
      </c>
      <c r="C33" s="3" t="s">
        <v>217</v>
      </c>
      <c r="D33" s="29" t="s">
        <v>126</v>
      </c>
      <c r="E33" s="21" t="s">
        <v>73</v>
      </c>
      <c r="F33" s="47" t="s">
        <v>218</v>
      </c>
      <c r="G33" s="1" t="s">
        <v>268</v>
      </c>
      <c r="H33" s="7" t="s">
        <v>31</v>
      </c>
      <c r="I33" s="1" t="s">
        <v>172</v>
      </c>
      <c r="K33" s="57" t="s">
        <v>245</v>
      </c>
      <c r="L33" s="2">
        <v>4</v>
      </c>
      <c r="M33" s="67" t="s">
        <v>259</v>
      </c>
      <c r="N33" s="2">
        <v>5</v>
      </c>
      <c r="O33" s="39" t="s">
        <v>170</v>
      </c>
      <c r="P33" s="2">
        <v>5</v>
      </c>
      <c r="Q33" s="62"/>
    </row>
    <row r="34" spans="1:17" ht="14.5" x14ac:dyDescent="0.3">
      <c r="A34" s="84"/>
      <c r="B34" s="19" t="s">
        <v>100</v>
      </c>
      <c r="C34" s="3" t="s">
        <v>219</v>
      </c>
      <c r="D34" s="32" t="s">
        <v>112</v>
      </c>
      <c r="E34" s="10" t="s">
        <v>37</v>
      </c>
      <c r="F34" s="6" t="s">
        <v>30</v>
      </c>
      <c r="G34" s="1" t="s">
        <v>266</v>
      </c>
      <c r="H34" s="10" t="s">
        <v>39</v>
      </c>
      <c r="I34" s="1" t="s">
        <v>220</v>
      </c>
      <c r="K34" s="58" t="s">
        <v>246</v>
      </c>
      <c r="L34" s="2">
        <v>4</v>
      </c>
      <c r="M34" s="65" t="s">
        <v>257</v>
      </c>
      <c r="N34" s="2">
        <v>5</v>
      </c>
      <c r="O34" s="43" t="s">
        <v>191</v>
      </c>
      <c r="P34" s="2">
        <v>4</v>
      </c>
      <c r="Q34" s="62"/>
    </row>
    <row r="35" spans="1:17" ht="14.5" x14ac:dyDescent="0.3">
      <c r="A35" s="85"/>
      <c r="B35" s="19" t="s">
        <v>74</v>
      </c>
      <c r="C35" s="3" t="s">
        <v>221</v>
      </c>
      <c r="D35" s="29" t="s">
        <v>66</v>
      </c>
      <c r="E35" s="18" t="s">
        <v>56</v>
      </c>
      <c r="F35" s="1" t="s">
        <v>35</v>
      </c>
      <c r="G35" s="1" t="s">
        <v>267</v>
      </c>
      <c r="H35" s="8" t="s">
        <v>33</v>
      </c>
      <c r="I35" s="1" t="s">
        <v>207</v>
      </c>
      <c r="K35" s="56" t="s">
        <v>256</v>
      </c>
      <c r="L35" s="2">
        <v>3</v>
      </c>
      <c r="M35" s="54" t="s">
        <v>27</v>
      </c>
      <c r="N35" s="2">
        <v>4</v>
      </c>
      <c r="O35" s="8" t="s">
        <v>33</v>
      </c>
      <c r="P35" s="2">
        <v>3</v>
      </c>
      <c r="Q35" s="62"/>
    </row>
    <row r="36" spans="1:17" ht="14.5" x14ac:dyDescent="0.3">
      <c r="A36" s="82" t="s">
        <v>75</v>
      </c>
      <c r="B36" s="19" t="s">
        <v>76</v>
      </c>
      <c r="C36" s="3" t="s">
        <v>222</v>
      </c>
      <c r="D36" s="1" t="s">
        <v>223</v>
      </c>
      <c r="E36" s="39" t="s">
        <v>168</v>
      </c>
      <c r="F36" s="40" t="s">
        <v>169</v>
      </c>
      <c r="G36" s="1" t="s">
        <v>268</v>
      </c>
      <c r="H36" s="39" t="s">
        <v>170</v>
      </c>
      <c r="I36" s="1" t="s">
        <v>224</v>
      </c>
      <c r="K36" s="59" t="s">
        <v>247</v>
      </c>
      <c r="L36" s="2">
        <v>3</v>
      </c>
      <c r="M36" s="66" t="s">
        <v>258</v>
      </c>
      <c r="N36" s="2">
        <v>3</v>
      </c>
      <c r="O36" s="15" t="s">
        <v>51</v>
      </c>
      <c r="P36" s="2">
        <v>1</v>
      </c>
    </row>
    <row r="37" spans="1:17" ht="14.5" x14ac:dyDescent="0.3">
      <c r="A37" s="81"/>
      <c r="B37" s="19" t="s">
        <v>77</v>
      </c>
      <c r="C37" s="3" t="s">
        <v>225</v>
      </c>
      <c r="D37" s="13" t="s">
        <v>69</v>
      </c>
      <c r="E37" s="24" t="s">
        <v>78</v>
      </c>
      <c r="F37" s="25" t="s">
        <v>79</v>
      </c>
      <c r="G37" s="1" t="s">
        <v>269</v>
      </c>
      <c r="H37" s="24" t="s">
        <v>80</v>
      </c>
      <c r="I37" s="1" t="s">
        <v>226</v>
      </c>
      <c r="K37" s="30" t="s">
        <v>251</v>
      </c>
      <c r="L37" s="2">
        <v>3</v>
      </c>
      <c r="M37" s="64" t="s">
        <v>46</v>
      </c>
      <c r="N37" s="2">
        <v>2</v>
      </c>
      <c r="O37" s="7" t="s">
        <v>261</v>
      </c>
      <c r="P37" s="2">
        <v>1</v>
      </c>
    </row>
    <row r="38" spans="1:17" ht="14.5" x14ac:dyDescent="0.3">
      <c r="A38" s="81"/>
      <c r="B38" s="19" t="s">
        <v>81</v>
      </c>
      <c r="C38" s="3" t="s">
        <v>227</v>
      </c>
      <c r="D38" s="1" t="s">
        <v>193</v>
      </c>
      <c r="E38" s="23" t="s">
        <v>85</v>
      </c>
      <c r="F38" s="4" t="s">
        <v>27</v>
      </c>
      <c r="G38" s="1" t="s">
        <v>269</v>
      </c>
      <c r="H38" s="23" t="s">
        <v>82</v>
      </c>
      <c r="I38" s="1" t="s">
        <v>228</v>
      </c>
      <c r="K38" s="50" t="s">
        <v>248</v>
      </c>
      <c r="L38" s="2">
        <v>2</v>
      </c>
      <c r="M38" s="31" t="s">
        <v>38</v>
      </c>
      <c r="N38" s="2">
        <v>1</v>
      </c>
      <c r="O38" s="68" t="s">
        <v>262</v>
      </c>
      <c r="P38" s="2">
        <v>1</v>
      </c>
    </row>
    <row r="39" spans="1:17" ht="14.5" x14ac:dyDescent="0.3">
      <c r="A39" s="81"/>
      <c r="B39" s="19" t="s">
        <v>83</v>
      </c>
      <c r="C39" s="3" t="s">
        <v>293</v>
      </c>
      <c r="D39" s="1" t="s">
        <v>290</v>
      </c>
      <c r="E39" s="43" t="s">
        <v>291</v>
      </c>
      <c r="F39" s="46" t="s">
        <v>216</v>
      </c>
      <c r="G39" s="1" t="s">
        <v>266</v>
      </c>
      <c r="H39" s="43" t="s">
        <v>191</v>
      </c>
      <c r="I39" s="1" t="s">
        <v>285</v>
      </c>
      <c r="K39" s="31" t="s">
        <v>249</v>
      </c>
      <c r="L39" s="2">
        <v>2</v>
      </c>
      <c r="M39" s="62"/>
      <c r="N39" s="62"/>
      <c r="O39" s="11" t="s">
        <v>263</v>
      </c>
      <c r="P39" s="2">
        <v>1</v>
      </c>
    </row>
    <row r="40" spans="1:17" ht="14.5" x14ac:dyDescent="0.3">
      <c r="A40" s="81"/>
      <c r="B40" s="19" t="s">
        <v>96</v>
      </c>
      <c r="C40" s="3" t="s">
        <v>327</v>
      </c>
      <c r="D40" s="30" t="s">
        <v>4</v>
      </c>
      <c r="E40" s="45" t="s">
        <v>204</v>
      </c>
      <c r="F40" s="48" t="s">
        <v>229</v>
      </c>
      <c r="G40" s="1" t="s">
        <v>267</v>
      </c>
      <c r="H40" s="7" t="s">
        <v>31</v>
      </c>
      <c r="I40" s="71" t="s">
        <v>324</v>
      </c>
      <c r="K40" s="60" t="s">
        <v>41</v>
      </c>
      <c r="L40" s="2">
        <v>1</v>
      </c>
      <c r="M40" s="62"/>
      <c r="N40" s="62"/>
      <c r="O40" s="13" t="s">
        <v>47</v>
      </c>
      <c r="P40" s="2">
        <v>1</v>
      </c>
    </row>
    <row r="41" spans="1:17" ht="14.5" x14ac:dyDescent="0.3">
      <c r="A41" s="81"/>
      <c r="B41" s="19" t="s">
        <v>84</v>
      </c>
      <c r="C41" s="3" t="s">
        <v>230</v>
      </c>
      <c r="D41" s="38" t="s">
        <v>231</v>
      </c>
      <c r="E41" s="23" t="s">
        <v>85</v>
      </c>
      <c r="F41" s="25" t="s">
        <v>79</v>
      </c>
      <c r="G41" s="1" t="s">
        <v>268</v>
      </c>
      <c r="H41" s="7" t="s">
        <v>31</v>
      </c>
      <c r="I41" s="1" t="s">
        <v>174</v>
      </c>
      <c r="K41" s="51" t="s">
        <v>250</v>
      </c>
      <c r="L41" s="2">
        <v>1</v>
      </c>
      <c r="M41" s="62"/>
      <c r="N41" s="62"/>
      <c r="O41" s="5" t="s">
        <v>198</v>
      </c>
      <c r="P41" s="2">
        <v>1</v>
      </c>
    </row>
    <row r="42" spans="1:17" ht="14.5" x14ac:dyDescent="0.3">
      <c r="A42" s="81"/>
      <c r="B42" s="19" t="s">
        <v>86</v>
      </c>
      <c r="C42" s="3" t="s">
        <v>277</v>
      </c>
      <c r="D42" s="29" t="s">
        <v>126</v>
      </c>
      <c r="E42" s="39" t="s">
        <v>168</v>
      </c>
      <c r="F42" s="48" t="s">
        <v>229</v>
      </c>
      <c r="G42" s="1" t="s">
        <v>266</v>
      </c>
      <c r="H42" s="39" t="s">
        <v>170</v>
      </c>
      <c r="I42" s="1" t="s">
        <v>278</v>
      </c>
      <c r="K42" s="52" t="s">
        <v>53</v>
      </c>
      <c r="L42" s="2">
        <v>1</v>
      </c>
      <c r="M42" s="62"/>
      <c r="N42" s="62"/>
      <c r="O42" s="76" t="s">
        <v>283</v>
      </c>
      <c r="P42" s="2">
        <v>1</v>
      </c>
    </row>
    <row r="43" spans="1:17" ht="14.5" x14ac:dyDescent="0.3">
      <c r="A43" s="81"/>
      <c r="B43" s="19" t="s">
        <v>87</v>
      </c>
      <c r="C43" s="3" t="s">
        <v>232</v>
      </c>
      <c r="D43" s="38" t="s">
        <v>231</v>
      </c>
      <c r="E43" s="10" t="s">
        <v>37</v>
      </c>
      <c r="F43" s="1" t="s">
        <v>35</v>
      </c>
      <c r="G43" s="1" t="s">
        <v>269</v>
      </c>
      <c r="H43" s="10" t="s">
        <v>39</v>
      </c>
      <c r="I43" s="1" t="s">
        <v>233</v>
      </c>
      <c r="K43" s="61" t="s">
        <v>252</v>
      </c>
      <c r="L43" s="2">
        <v>1</v>
      </c>
      <c r="M43" s="62"/>
      <c r="N43" s="62"/>
      <c r="O43" s="62"/>
      <c r="P43" s="62"/>
    </row>
    <row r="44" spans="1:17" ht="14.5" x14ac:dyDescent="0.3">
      <c r="A44" s="81"/>
      <c r="B44" s="19" t="s">
        <v>88</v>
      </c>
      <c r="C44" s="3" t="s">
        <v>234</v>
      </c>
      <c r="D44" s="38" t="s">
        <v>167</v>
      </c>
      <c r="E44" s="39" t="s">
        <v>168</v>
      </c>
      <c r="F44" s="40" t="s">
        <v>169</v>
      </c>
      <c r="G44" s="1" t="s">
        <v>268</v>
      </c>
      <c r="H44" s="39" t="s">
        <v>170</v>
      </c>
      <c r="I44" s="1" t="s">
        <v>196</v>
      </c>
      <c r="K44" s="69" t="s">
        <v>253</v>
      </c>
      <c r="L44" s="2">
        <v>1</v>
      </c>
      <c r="M44" s="62"/>
      <c r="N44" s="62"/>
      <c r="O44" s="62"/>
      <c r="P44" s="62"/>
    </row>
    <row r="45" spans="1:17" ht="14.5" x14ac:dyDescent="0.3">
      <c r="A45" s="82" t="s">
        <v>89</v>
      </c>
      <c r="B45" s="19" t="s">
        <v>90</v>
      </c>
      <c r="C45" s="3" t="s">
        <v>235</v>
      </c>
      <c r="D45" s="31" t="s">
        <v>123</v>
      </c>
      <c r="E45" s="39" t="s">
        <v>236</v>
      </c>
      <c r="F45" s="48" t="s">
        <v>229</v>
      </c>
      <c r="G45" s="1" t="s">
        <v>266</v>
      </c>
      <c r="H45" s="39" t="s">
        <v>170</v>
      </c>
      <c r="I45" s="1" t="s">
        <v>197</v>
      </c>
      <c r="K45" s="76" t="s">
        <v>282</v>
      </c>
      <c r="L45" s="2">
        <v>1</v>
      </c>
    </row>
    <row r="46" spans="1:17" ht="14.5" x14ac:dyDescent="0.3">
      <c r="A46" s="81"/>
      <c r="B46" s="19" t="s">
        <v>91</v>
      </c>
      <c r="C46" s="3" t="s">
        <v>314</v>
      </c>
      <c r="D46" s="29" t="s">
        <v>126</v>
      </c>
      <c r="E46" s="43" t="s">
        <v>291</v>
      </c>
      <c r="F46" s="46" t="s">
        <v>216</v>
      </c>
      <c r="G46" s="1" t="s">
        <v>266</v>
      </c>
      <c r="H46" s="43" t="s">
        <v>191</v>
      </c>
      <c r="I46" s="1" t="s">
        <v>307</v>
      </c>
    </row>
    <row r="47" spans="1:17" ht="14.5" x14ac:dyDescent="0.3">
      <c r="A47" s="82" t="s">
        <v>92</v>
      </c>
      <c r="B47" s="19" t="s">
        <v>93</v>
      </c>
      <c r="C47" s="3" t="s">
        <v>279</v>
      </c>
      <c r="D47" s="29" t="s">
        <v>126</v>
      </c>
      <c r="E47" s="10" t="s">
        <v>37</v>
      </c>
      <c r="F47" s="42" t="s">
        <v>180</v>
      </c>
      <c r="G47" s="1" t="s">
        <v>267</v>
      </c>
      <c r="H47" s="10" t="s">
        <v>39</v>
      </c>
      <c r="I47" s="1" t="s">
        <v>278</v>
      </c>
    </row>
    <row r="48" spans="1:17" ht="14.5" x14ac:dyDescent="0.3">
      <c r="A48" s="81"/>
      <c r="B48" s="19" t="s">
        <v>94</v>
      </c>
      <c r="C48" s="3" t="s">
        <v>237</v>
      </c>
      <c r="D48" s="29" t="s">
        <v>126</v>
      </c>
      <c r="E48" s="41" t="s">
        <v>178</v>
      </c>
      <c r="F48" s="25" t="s">
        <v>79</v>
      </c>
      <c r="G48" s="1" t="s">
        <v>269</v>
      </c>
      <c r="H48" s="41" t="s">
        <v>179</v>
      </c>
      <c r="I48" s="1" t="s">
        <v>189</v>
      </c>
    </row>
  </sheetData>
  <sortState xmlns:xlrd2="http://schemas.microsoft.com/office/spreadsheetml/2017/richdata2" ref="O15:P22">
    <sortCondition descending="1" ref="P14:P22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58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141</v>
      </c>
      <c r="B1" s="93"/>
      <c r="C1" s="93"/>
      <c r="D1" s="93"/>
      <c r="E1" s="80"/>
      <c r="F1" s="26"/>
      <c r="G1" s="95" t="s">
        <v>273</v>
      </c>
      <c r="H1" s="93"/>
      <c r="I1" s="93"/>
      <c r="J1" s="93"/>
      <c r="K1" s="80"/>
    </row>
    <row r="2" spans="1:11" x14ac:dyDescent="0.3">
      <c r="A2" s="96" t="s">
        <v>322</v>
      </c>
      <c r="B2" s="93"/>
      <c r="C2" s="93"/>
      <c r="D2" s="93"/>
      <c r="E2" s="80"/>
      <c r="F2" s="26"/>
      <c r="G2" s="81" t="s">
        <v>322</v>
      </c>
      <c r="H2" s="81"/>
      <c r="I2" s="81"/>
      <c r="J2" s="81"/>
      <c r="K2" s="81"/>
    </row>
    <row r="3" spans="1:11" ht="14.5" x14ac:dyDescent="0.3">
      <c r="A3" s="1" t="s">
        <v>103</v>
      </c>
      <c r="B3" s="1" t="s">
        <v>120</v>
      </c>
      <c r="C3" s="1" t="s">
        <v>138</v>
      </c>
      <c r="D3" s="1" t="s">
        <v>105</v>
      </c>
      <c r="E3" s="72" t="s">
        <v>275</v>
      </c>
      <c r="F3" s="26"/>
      <c r="G3" s="2" t="s">
        <v>103</v>
      </c>
      <c r="H3" s="2" t="s">
        <v>19</v>
      </c>
      <c r="I3" s="2" t="s">
        <v>117</v>
      </c>
      <c r="J3" s="2" t="s">
        <v>133</v>
      </c>
      <c r="K3" s="2" t="s">
        <v>134</v>
      </c>
    </row>
    <row r="4" spans="1:11" x14ac:dyDescent="0.3">
      <c r="A4" s="1">
        <v>1</v>
      </c>
      <c r="B4" s="31" t="s">
        <v>124</v>
      </c>
      <c r="C4" s="1">
        <v>71</v>
      </c>
      <c r="D4" s="1">
        <v>43</v>
      </c>
      <c r="E4" s="36">
        <f>D4/C4</f>
        <v>0.60563380281690138</v>
      </c>
      <c r="F4" s="26"/>
      <c r="G4" s="2">
        <v>1</v>
      </c>
      <c r="H4" s="29" t="s">
        <v>142</v>
      </c>
      <c r="I4" s="2">
        <v>70</v>
      </c>
      <c r="J4" s="2">
        <v>27</v>
      </c>
      <c r="K4" s="28">
        <f>J4/I4</f>
        <v>0.38571428571428573</v>
      </c>
    </row>
    <row r="5" spans="1:11" x14ac:dyDescent="0.3">
      <c r="A5" s="1">
        <v>2</v>
      </c>
      <c r="B5" s="29" t="s">
        <v>6</v>
      </c>
      <c r="C5" s="1">
        <v>70</v>
      </c>
      <c r="D5" s="1">
        <v>42</v>
      </c>
      <c r="E5" s="36">
        <f>D5/C5</f>
        <v>0.6</v>
      </c>
      <c r="F5" s="26"/>
      <c r="G5" s="2">
        <v>2</v>
      </c>
      <c r="H5" s="31" t="s">
        <v>145</v>
      </c>
      <c r="I5" s="2">
        <v>71</v>
      </c>
      <c r="J5" s="2">
        <v>24</v>
      </c>
      <c r="K5" s="28">
        <f>J5/I5</f>
        <v>0.3380281690140845</v>
      </c>
    </row>
    <row r="6" spans="1:11" x14ac:dyDescent="0.3">
      <c r="A6" s="1">
        <v>3</v>
      </c>
      <c r="B6" s="2" t="s">
        <v>8</v>
      </c>
      <c r="C6" s="1">
        <v>61</v>
      </c>
      <c r="D6" s="1">
        <v>34</v>
      </c>
      <c r="E6" s="36">
        <f>D6/C6</f>
        <v>0.55737704918032782</v>
      </c>
      <c r="F6" s="26"/>
      <c r="G6" s="2">
        <v>3</v>
      </c>
      <c r="H6" s="2" t="s">
        <v>15</v>
      </c>
      <c r="I6" s="2">
        <v>61</v>
      </c>
      <c r="J6" s="2">
        <v>18</v>
      </c>
      <c r="K6" s="28">
        <f>J6/I6</f>
        <v>0.29508196721311475</v>
      </c>
    </row>
    <row r="7" spans="1:11" x14ac:dyDescent="0.3">
      <c r="A7" s="1">
        <v>4</v>
      </c>
      <c r="B7" s="30" t="s">
        <v>7</v>
      </c>
      <c r="C7" s="1">
        <v>81</v>
      </c>
      <c r="D7" s="1">
        <v>43</v>
      </c>
      <c r="E7" s="36">
        <f>D7/C7</f>
        <v>0.53086419753086422</v>
      </c>
      <c r="F7" s="26"/>
      <c r="G7" s="2">
        <v>4</v>
      </c>
      <c r="H7" s="33" t="s">
        <v>143</v>
      </c>
      <c r="I7" s="2">
        <v>56</v>
      </c>
      <c r="J7" s="2">
        <v>16</v>
      </c>
      <c r="K7" s="28">
        <f>J7/I7</f>
        <v>0.2857142857142857</v>
      </c>
    </row>
    <row r="8" spans="1:11" x14ac:dyDescent="0.3">
      <c r="A8" s="1">
        <v>5</v>
      </c>
      <c r="B8" s="32" t="s">
        <v>5</v>
      </c>
      <c r="C8" s="1">
        <v>79</v>
      </c>
      <c r="D8" s="1">
        <v>41</v>
      </c>
      <c r="E8" s="36">
        <f>D8/C8</f>
        <v>0.51898734177215189</v>
      </c>
      <c r="F8" s="26"/>
      <c r="G8" s="2">
        <v>5</v>
      </c>
      <c r="H8" s="32" t="s">
        <v>150</v>
      </c>
      <c r="I8" s="2">
        <v>79</v>
      </c>
      <c r="J8" s="2">
        <v>22</v>
      </c>
      <c r="K8" s="28">
        <f>J8/I8</f>
        <v>0.27848101265822783</v>
      </c>
    </row>
    <row r="9" spans="1:11" x14ac:dyDescent="0.3">
      <c r="A9" s="1">
        <v>6</v>
      </c>
      <c r="B9" s="27" t="s">
        <v>9</v>
      </c>
      <c r="C9" s="1">
        <v>68</v>
      </c>
      <c r="D9" s="1">
        <v>32</v>
      </c>
      <c r="E9" s="36">
        <f>D9/C9</f>
        <v>0.47058823529411764</v>
      </c>
      <c r="G9" s="2">
        <v>6</v>
      </c>
      <c r="H9" s="30" t="s">
        <v>144</v>
      </c>
      <c r="I9" s="2">
        <v>81</v>
      </c>
      <c r="J9" s="2">
        <v>22</v>
      </c>
      <c r="K9" s="28">
        <f>J9/I9</f>
        <v>0.27160493827160492</v>
      </c>
    </row>
    <row r="10" spans="1:11" x14ac:dyDescent="0.3">
      <c r="A10" s="1">
        <v>7</v>
      </c>
      <c r="B10" s="33" t="s">
        <v>10</v>
      </c>
      <c r="C10" s="1">
        <v>56</v>
      </c>
      <c r="D10" s="1">
        <v>24</v>
      </c>
      <c r="E10" s="36">
        <f>D10/C10</f>
        <v>0.42857142857142855</v>
      </c>
      <c r="F10" s="26"/>
      <c r="G10" s="2">
        <v>7</v>
      </c>
      <c r="H10" s="27" t="s">
        <v>146</v>
      </c>
      <c r="I10" s="2">
        <v>68</v>
      </c>
      <c r="J10" s="2">
        <v>18</v>
      </c>
      <c r="K10" s="28">
        <f>J10/I10</f>
        <v>0.26470588235294118</v>
      </c>
    </row>
    <row r="11" spans="1:11" x14ac:dyDescent="0.3">
      <c r="A11" s="1">
        <v>8</v>
      </c>
      <c r="B11" s="29" t="s">
        <v>11</v>
      </c>
      <c r="C11" s="1">
        <v>48</v>
      </c>
      <c r="D11" s="1">
        <v>8</v>
      </c>
      <c r="E11" s="36">
        <f>D11/C11</f>
        <v>0.16666666666666666</v>
      </c>
      <c r="F11" s="26"/>
      <c r="G11" s="2">
        <v>8</v>
      </c>
      <c r="H11" s="31" t="s">
        <v>153</v>
      </c>
      <c r="I11" s="2">
        <v>71</v>
      </c>
      <c r="J11" s="2">
        <v>13</v>
      </c>
      <c r="K11" s="28">
        <f>J11/I11</f>
        <v>0.18309859154929578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2" t="s">
        <v>147</v>
      </c>
      <c r="I12" s="2">
        <v>61</v>
      </c>
      <c r="J12" s="2">
        <v>10</v>
      </c>
      <c r="K12" s="28">
        <f>J12/I12</f>
        <v>0.16393442622950818</v>
      </c>
    </row>
    <row r="13" spans="1:11" x14ac:dyDescent="0.3">
      <c r="A13" s="95" t="s">
        <v>270</v>
      </c>
      <c r="B13" s="93"/>
      <c r="C13" s="93"/>
      <c r="D13" s="93"/>
      <c r="E13" s="80"/>
      <c r="F13" s="26"/>
      <c r="G13" s="2">
        <v>10</v>
      </c>
      <c r="H13" s="29" t="s">
        <v>151</v>
      </c>
      <c r="I13" s="2">
        <v>70</v>
      </c>
      <c r="J13" s="2">
        <v>11</v>
      </c>
      <c r="K13" s="28">
        <f>J13/I13</f>
        <v>0.15714285714285714</v>
      </c>
    </row>
    <row r="14" spans="1:11" x14ac:dyDescent="0.3">
      <c r="A14" s="93" t="s">
        <v>322</v>
      </c>
      <c r="B14" s="93"/>
      <c r="C14" s="93"/>
      <c r="D14" s="93"/>
      <c r="E14" s="80"/>
      <c r="F14" s="26"/>
      <c r="G14" s="2">
        <v>11</v>
      </c>
      <c r="H14" s="32" t="s">
        <v>149</v>
      </c>
      <c r="I14" s="2">
        <v>79</v>
      </c>
      <c r="J14" s="2">
        <v>12</v>
      </c>
      <c r="K14" s="28">
        <f>J14/I14</f>
        <v>0.15189873417721519</v>
      </c>
    </row>
    <row r="15" spans="1:11" ht="14.5" x14ac:dyDescent="0.3">
      <c r="A15" s="1" t="s">
        <v>103</v>
      </c>
      <c r="B15" s="1" t="s">
        <v>120</v>
      </c>
      <c r="C15" s="1" t="s">
        <v>135</v>
      </c>
      <c r="D15" s="1" t="s">
        <v>105</v>
      </c>
      <c r="E15" s="1" t="s">
        <v>106</v>
      </c>
      <c r="F15" s="26"/>
      <c r="G15" s="2">
        <v>12</v>
      </c>
      <c r="H15" s="30" t="s">
        <v>14</v>
      </c>
      <c r="I15" s="2">
        <v>81</v>
      </c>
      <c r="J15" s="2">
        <v>12</v>
      </c>
      <c r="K15" s="28">
        <f>J15/I15</f>
        <v>0.14814814814814814</v>
      </c>
    </row>
    <row r="16" spans="1:11" x14ac:dyDescent="0.3">
      <c r="A16" s="1">
        <v>1</v>
      </c>
      <c r="B16" s="29" t="s">
        <v>6</v>
      </c>
      <c r="C16" s="1">
        <v>9</v>
      </c>
      <c r="D16" s="1">
        <v>7</v>
      </c>
      <c r="E16" s="36">
        <f>D16/C16</f>
        <v>0.77777777777777779</v>
      </c>
      <c r="F16" s="26"/>
      <c r="G16" s="2">
        <v>13</v>
      </c>
      <c r="H16" s="27" t="s">
        <v>154</v>
      </c>
      <c r="I16" s="2">
        <v>68</v>
      </c>
      <c r="J16" s="2">
        <v>9</v>
      </c>
      <c r="K16" s="28">
        <f>J16/I16</f>
        <v>0.13235294117647059</v>
      </c>
    </row>
    <row r="17" spans="1:11" x14ac:dyDescent="0.3">
      <c r="A17" s="1">
        <v>2</v>
      </c>
      <c r="B17" s="31" t="s">
        <v>124</v>
      </c>
      <c r="C17" s="1">
        <v>10</v>
      </c>
      <c r="D17" s="1">
        <v>7</v>
      </c>
      <c r="E17" s="36">
        <f>D17/C17</f>
        <v>0.7</v>
      </c>
      <c r="F17" s="26"/>
      <c r="G17" s="2">
        <v>14</v>
      </c>
      <c r="H17" s="30" t="s">
        <v>159</v>
      </c>
      <c r="I17" s="2">
        <v>81</v>
      </c>
      <c r="J17" s="2">
        <v>9</v>
      </c>
      <c r="K17" s="28">
        <f>J17/I17</f>
        <v>0.1111111111111111</v>
      </c>
    </row>
    <row r="18" spans="1:11" x14ac:dyDescent="0.3">
      <c r="A18" s="1">
        <v>3</v>
      </c>
      <c r="B18" s="2" t="s">
        <v>8</v>
      </c>
      <c r="C18" s="1">
        <v>9</v>
      </c>
      <c r="D18" s="1">
        <v>6</v>
      </c>
      <c r="E18" s="36">
        <f>D18/C18</f>
        <v>0.66666666666666663</v>
      </c>
      <c r="F18" s="26"/>
      <c r="G18" s="2">
        <v>15</v>
      </c>
      <c r="H18" s="2" t="s">
        <v>158</v>
      </c>
      <c r="I18" s="2">
        <v>61</v>
      </c>
      <c r="J18" s="2">
        <v>6</v>
      </c>
      <c r="K18" s="28">
        <f>J18/I18</f>
        <v>9.8360655737704916E-2</v>
      </c>
    </row>
    <row r="19" spans="1:11" x14ac:dyDescent="0.3">
      <c r="A19" s="1">
        <v>4</v>
      </c>
      <c r="B19" s="30" t="s">
        <v>7</v>
      </c>
      <c r="C19" s="1">
        <v>10</v>
      </c>
      <c r="D19" s="1">
        <v>6</v>
      </c>
      <c r="E19" s="36">
        <f>D19/C19</f>
        <v>0.6</v>
      </c>
      <c r="F19" s="26"/>
      <c r="G19" s="2">
        <v>16</v>
      </c>
      <c r="H19" s="33" t="s">
        <v>156</v>
      </c>
      <c r="I19" s="2">
        <v>56</v>
      </c>
      <c r="J19" s="2">
        <v>5</v>
      </c>
      <c r="K19" s="28">
        <f>J19/I19</f>
        <v>8.9285714285714288E-2</v>
      </c>
    </row>
    <row r="20" spans="1:11" x14ac:dyDescent="0.3">
      <c r="A20" s="1">
        <v>5</v>
      </c>
      <c r="B20" s="32" t="s">
        <v>5</v>
      </c>
      <c r="C20" s="1">
        <v>11</v>
      </c>
      <c r="D20" s="1">
        <v>5</v>
      </c>
      <c r="E20" s="36">
        <f>D20/C20</f>
        <v>0.45454545454545453</v>
      </c>
      <c r="F20" s="26"/>
      <c r="G20" s="2">
        <v>17</v>
      </c>
      <c r="H20" s="32" t="s">
        <v>148</v>
      </c>
      <c r="I20" s="2">
        <v>79</v>
      </c>
      <c r="J20" s="2">
        <v>7</v>
      </c>
      <c r="K20" s="28">
        <f>J20/I20</f>
        <v>8.8607594936708861E-2</v>
      </c>
    </row>
    <row r="21" spans="1:11" x14ac:dyDescent="0.3">
      <c r="A21" s="1">
        <v>6</v>
      </c>
      <c r="B21" s="33" t="s">
        <v>10</v>
      </c>
      <c r="C21" s="1">
        <v>8</v>
      </c>
      <c r="D21" s="1">
        <v>3</v>
      </c>
      <c r="E21" s="36">
        <f>D21/C21</f>
        <v>0.375</v>
      </c>
      <c r="F21" s="26"/>
      <c r="G21" s="2">
        <v>18</v>
      </c>
      <c r="H21" s="31" t="s">
        <v>152</v>
      </c>
      <c r="I21" s="2">
        <v>71</v>
      </c>
      <c r="J21" s="2">
        <v>6</v>
      </c>
      <c r="K21" s="28">
        <f>J21/I21</f>
        <v>8.4507042253521125E-2</v>
      </c>
    </row>
    <row r="22" spans="1:11" x14ac:dyDescent="0.3">
      <c r="A22" s="1">
        <v>7</v>
      </c>
      <c r="B22" s="27" t="s">
        <v>9</v>
      </c>
      <c r="C22" s="1">
        <v>9</v>
      </c>
      <c r="D22" s="1">
        <v>3</v>
      </c>
      <c r="E22" s="36">
        <f>D22/C22</f>
        <v>0.33333333333333331</v>
      </c>
      <c r="F22" s="26"/>
      <c r="G22" s="2">
        <v>19</v>
      </c>
      <c r="H22" s="29" t="s">
        <v>157</v>
      </c>
      <c r="I22" s="2">
        <v>48</v>
      </c>
      <c r="J22" s="2">
        <v>4</v>
      </c>
      <c r="K22" s="28">
        <f>J22/I22</f>
        <v>8.3333333333333329E-2</v>
      </c>
    </row>
    <row r="23" spans="1:11" x14ac:dyDescent="0.3">
      <c r="A23" s="1">
        <v>8</v>
      </c>
      <c r="B23" s="29" t="s">
        <v>11</v>
      </c>
      <c r="C23" s="1">
        <v>8</v>
      </c>
      <c r="D23" s="1">
        <v>0</v>
      </c>
      <c r="E23" s="36">
        <f>D23/C23</f>
        <v>0</v>
      </c>
      <c r="F23" s="26"/>
      <c r="G23" s="2">
        <v>20</v>
      </c>
      <c r="H23" s="27" t="s">
        <v>155</v>
      </c>
      <c r="I23" s="2">
        <v>62</v>
      </c>
      <c r="J23" s="2">
        <v>5</v>
      </c>
      <c r="K23" s="28">
        <f>J23/I23</f>
        <v>8.0645161290322578E-2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13</v>
      </c>
      <c r="I24" s="2">
        <v>48</v>
      </c>
      <c r="J24" s="2">
        <v>3</v>
      </c>
      <c r="K24" s="28">
        <f>J24/I24</f>
        <v>6.25E-2</v>
      </c>
    </row>
    <row r="25" spans="1:11" x14ac:dyDescent="0.3">
      <c r="A25" s="95" t="s">
        <v>271</v>
      </c>
      <c r="B25" s="93"/>
      <c r="C25" s="93"/>
      <c r="D25" s="93"/>
      <c r="E25" s="80"/>
      <c r="F25" s="26"/>
      <c r="G25" s="2">
        <v>22</v>
      </c>
      <c r="H25" s="29" t="s">
        <v>161</v>
      </c>
      <c r="I25" s="2">
        <v>70</v>
      </c>
      <c r="J25" s="2">
        <v>4</v>
      </c>
      <c r="K25" s="28">
        <f>J25/I25</f>
        <v>5.7142857142857141E-2</v>
      </c>
    </row>
    <row r="26" spans="1:11" x14ac:dyDescent="0.3">
      <c r="A26" s="93" t="s">
        <v>322</v>
      </c>
      <c r="B26" s="93"/>
      <c r="C26" s="93"/>
      <c r="D26" s="93"/>
      <c r="E26" s="80"/>
      <c r="F26" s="26"/>
      <c r="G26" s="2">
        <v>23</v>
      </c>
      <c r="H26" s="33" t="s">
        <v>164</v>
      </c>
      <c r="I26" s="2">
        <v>56</v>
      </c>
      <c r="J26" s="2">
        <v>3</v>
      </c>
      <c r="K26" s="28">
        <f>J26/I26</f>
        <v>5.3571428571428568E-2</v>
      </c>
    </row>
    <row r="27" spans="1:11" ht="14.5" x14ac:dyDescent="0.3">
      <c r="A27" s="1" t="s">
        <v>103</v>
      </c>
      <c r="B27" s="1" t="s">
        <v>120</v>
      </c>
      <c r="C27" s="1" t="s">
        <v>135</v>
      </c>
      <c r="D27" s="1" t="s">
        <v>162</v>
      </c>
      <c r="E27" s="1" t="s">
        <v>163</v>
      </c>
      <c r="F27" s="26"/>
      <c r="G27" s="2">
        <v>24</v>
      </c>
      <c r="H27" s="29" t="s">
        <v>160</v>
      </c>
      <c r="I27" s="2">
        <v>48</v>
      </c>
      <c r="J27" s="2">
        <v>1</v>
      </c>
      <c r="K27" s="28">
        <f>J27/I27</f>
        <v>2.0833333333333332E-2</v>
      </c>
    </row>
    <row r="28" spans="1:11" x14ac:dyDescent="0.3">
      <c r="A28" s="1">
        <v>1</v>
      </c>
      <c r="B28" s="29" t="s">
        <v>6</v>
      </c>
      <c r="C28" s="1">
        <v>9</v>
      </c>
      <c r="D28" s="1">
        <v>14</v>
      </c>
      <c r="E28" s="37">
        <f>D28/C28</f>
        <v>1.5555555555555556</v>
      </c>
      <c r="F28" s="26"/>
      <c r="G28" s="2">
        <v>25</v>
      </c>
      <c r="H28" s="27" t="s">
        <v>289</v>
      </c>
      <c r="I28" s="2">
        <v>6</v>
      </c>
      <c r="J28" s="2">
        <v>0</v>
      </c>
      <c r="K28" s="28">
        <f>J28/I28</f>
        <v>0</v>
      </c>
    </row>
    <row r="29" spans="1:11" x14ac:dyDescent="0.3">
      <c r="A29" s="1">
        <v>2</v>
      </c>
      <c r="B29" s="31" t="s">
        <v>124</v>
      </c>
      <c r="C29" s="1">
        <v>10</v>
      </c>
      <c r="D29" s="1">
        <v>15</v>
      </c>
      <c r="E29" s="37">
        <f>D29/C29</f>
        <v>1.5</v>
      </c>
      <c r="F29" s="26"/>
      <c r="K29" s="26"/>
    </row>
    <row r="30" spans="1:11" x14ac:dyDescent="0.3">
      <c r="A30" s="1">
        <v>3</v>
      </c>
      <c r="B30" s="2" t="s">
        <v>8</v>
      </c>
      <c r="C30" s="1">
        <v>9</v>
      </c>
      <c r="D30" s="1">
        <v>7</v>
      </c>
      <c r="E30" s="37">
        <f>D30/C30</f>
        <v>0.77777777777777779</v>
      </c>
      <c r="F30" s="26"/>
      <c r="K30" s="26"/>
    </row>
    <row r="31" spans="1:11" x14ac:dyDescent="0.3">
      <c r="A31" s="1">
        <v>4</v>
      </c>
      <c r="B31" s="30" t="s">
        <v>7</v>
      </c>
      <c r="C31" s="1">
        <v>10</v>
      </c>
      <c r="D31" s="1">
        <v>5</v>
      </c>
      <c r="E31" s="37">
        <f>D31/C31</f>
        <v>0.5</v>
      </c>
      <c r="F31" s="26"/>
      <c r="K31" s="26"/>
    </row>
    <row r="32" spans="1:11" x14ac:dyDescent="0.3">
      <c r="A32" s="1">
        <v>5</v>
      </c>
      <c r="B32" s="32" t="s">
        <v>5</v>
      </c>
      <c r="C32" s="1">
        <v>11</v>
      </c>
      <c r="D32" s="1">
        <v>3</v>
      </c>
      <c r="E32" s="37">
        <f>D32/C32</f>
        <v>0.27272727272727271</v>
      </c>
      <c r="F32" s="26"/>
      <c r="G32" s="79" t="s">
        <v>165</v>
      </c>
      <c r="H32" s="93"/>
      <c r="I32" s="93"/>
      <c r="J32" s="80"/>
      <c r="K32" s="26"/>
    </row>
    <row r="33" spans="1:11" x14ac:dyDescent="0.3">
      <c r="A33" s="1">
        <v>6</v>
      </c>
      <c r="B33" s="27" t="s">
        <v>9</v>
      </c>
      <c r="C33" s="1">
        <v>9</v>
      </c>
      <c r="D33" s="1">
        <v>-4</v>
      </c>
      <c r="E33" s="37">
        <f>D33/C33</f>
        <v>-0.44444444444444442</v>
      </c>
      <c r="F33" s="26"/>
      <c r="G33" s="79" t="s">
        <v>322</v>
      </c>
      <c r="H33" s="93"/>
      <c r="I33" s="93"/>
      <c r="J33" s="80"/>
      <c r="K33" s="26"/>
    </row>
    <row r="34" spans="1:11" x14ac:dyDescent="0.3">
      <c r="A34" s="1">
        <v>7</v>
      </c>
      <c r="B34" s="33" t="s">
        <v>10</v>
      </c>
      <c r="C34" s="1">
        <v>8</v>
      </c>
      <c r="D34" s="1">
        <v>-8</v>
      </c>
      <c r="E34" s="37">
        <f>D34/C34</f>
        <v>-1</v>
      </c>
      <c r="F34" s="26"/>
      <c r="G34" s="2" t="s">
        <v>103</v>
      </c>
      <c r="H34" s="2" t="s">
        <v>19</v>
      </c>
      <c r="I34" s="2" t="s">
        <v>135</v>
      </c>
      <c r="J34" s="2" t="s">
        <v>122</v>
      </c>
      <c r="K34" s="26"/>
    </row>
    <row r="35" spans="1:11" x14ac:dyDescent="0.3">
      <c r="A35" s="1">
        <v>8</v>
      </c>
      <c r="B35" s="29" t="s">
        <v>11</v>
      </c>
      <c r="C35" s="1">
        <v>8</v>
      </c>
      <c r="D35" s="1">
        <v>-32</v>
      </c>
      <c r="E35" s="37">
        <f>D35/C35</f>
        <v>-4</v>
      </c>
      <c r="F35" s="26"/>
      <c r="G35" s="2">
        <v>1</v>
      </c>
      <c r="H35" s="29" t="s">
        <v>142</v>
      </c>
      <c r="I35" s="2">
        <v>9</v>
      </c>
      <c r="J35" s="2">
        <v>4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2</v>
      </c>
      <c r="H36" s="2" t="s">
        <v>15</v>
      </c>
      <c r="I36" s="2">
        <v>9</v>
      </c>
      <c r="J36" s="2">
        <v>3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3</v>
      </c>
      <c r="H37" s="30" t="s">
        <v>144</v>
      </c>
      <c r="I37" s="2">
        <v>10</v>
      </c>
      <c r="J37" s="2">
        <v>3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4</v>
      </c>
      <c r="H38" s="30" t="s">
        <v>159</v>
      </c>
      <c r="I38" s="2">
        <v>10</v>
      </c>
      <c r="J38" s="2">
        <v>3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5</v>
      </c>
      <c r="H39" s="32" t="s">
        <v>149</v>
      </c>
      <c r="I39" s="2">
        <v>11</v>
      </c>
      <c r="J39" s="2">
        <v>3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6</v>
      </c>
      <c r="H40" s="31" t="s">
        <v>145</v>
      </c>
      <c r="I40" s="2">
        <v>10</v>
      </c>
      <c r="J40" s="2">
        <v>3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7</v>
      </c>
      <c r="H41" s="31" t="s">
        <v>153</v>
      </c>
      <c r="I41" s="2">
        <v>10</v>
      </c>
      <c r="J41" s="2">
        <v>3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8</v>
      </c>
      <c r="H42" s="33" t="s">
        <v>143</v>
      </c>
      <c r="I42" s="2">
        <v>8</v>
      </c>
      <c r="J42" s="2">
        <v>2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9</v>
      </c>
      <c r="H43" s="29" t="s">
        <v>151</v>
      </c>
      <c r="I43" s="2">
        <v>9</v>
      </c>
      <c r="J43" s="2">
        <v>2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10</v>
      </c>
      <c r="H44" s="27" t="s">
        <v>146</v>
      </c>
      <c r="I44" s="2">
        <v>9</v>
      </c>
      <c r="J44" s="2">
        <v>2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11</v>
      </c>
      <c r="H45" s="2" t="s">
        <v>158</v>
      </c>
      <c r="I45" s="2">
        <v>9</v>
      </c>
      <c r="J45" s="2">
        <v>2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12</v>
      </c>
      <c r="H46" s="32" t="s">
        <v>148</v>
      </c>
      <c r="I46" s="2">
        <v>11</v>
      </c>
      <c r="J46" s="2">
        <v>2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13</v>
      </c>
      <c r="H47" s="2" t="s">
        <v>147</v>
      </c>
      <c r="I47" s="2">
        <v>9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14</v>
      </c>
      <c r="H48" s="31" t="s">
        <v>152</v>
      </c>
      <c r="I48" s="2">
        <v>10</v>
      </c>
      <c r="J48" s="2">
        <v>1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15</v>
      </c>
      <c r="H49" s="27" t="s">
        <v>155</v>
      </c>
      <c r="I49" s="2">
        <v>8</v>
      </c>
      <c r="J49" s="2">
        <v>1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16</v>
      </c>
      <c r="H50" s="33" t="s">
        <v>164</v>
      </c>
      <c r="I50" s="2">
        <v>8</v>
      </c>
      <c r="J50" s="2">
        <v>1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17</v>
      </c>
      <c r="H51" s="29" t="s">
        <v>161</v>
      </c>
      <c r="I51" s="2">
        <v>9</v>
      </c>
      <c r="J51" s="2">
        <v>1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18</v>
      </c>
      <c r="H52" s="32" t="s">
        <v>150</v>
      </c>
      <c r="I52" s="2">
        <v>11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19</v>
      </c>
      <c r="H53" s="27" t="s">
        <v>154</v>
      </c>
      <c r="I53" s="2">
        <v>9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20</v>
      </c>
      <c r="H54" s="33" t="s">
        <v>156</v>
      </c>
      <c r="I54" s="2">
        <v>8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21</v>
      </c>
      <c r="H55" s="29" t="s">
        <v>157</v>
      </c>
      <c r="I55" s="2">
        <v>8</v>
      </c>
      <c r="J55" s="2">
        <v>0</v>
      </c>
      <c r="K55" s="26"/>
    </row>
    <row r="56" spans="1:11" x14ac:dyDescent="0.3">
      <c r="G56" s="2">
        <v>22</v>
      </c>
      <c r="H56" s="29" t="s">
        <v>13</v>
      </c>
      <c r="I56" s="2">
        <v>8</v>
      </c>
      <c r="J56" s="2">
        <v>0</v>
      </c>
    </row>
    <row r="57" spans="1:11" x14ac:dyDescent="0.3">
      <c r="G57" s="2">
        <v>23</v>
      </c>
      <c r="H57" s="29" t="s">
        <v>160</v>
      </c>
      <c r="I57" s="2">
        <v>8</v>
      </c>
      <c r="J57" s="2">
        <v>0</v>
      </c>
    </row>
    <row r="58" spans="1:11" x14ac:dyDescent="0.3">
      <c r="G58" s="2">
        <v>24</v>
      </c>
      <c r="H58" s="30" t="s">
        <v>14</v>
      </c>
      <c r="I58" s="2">
        <v>10</v>
      </c>
      <c r="J58" s="2">
        <v>0</v>
      </c>
    </row>
    <row r="59" spans="1:11" x14ac:dyDescent="0.3">
      <c r="G59" s="2">
        <v>25</v>
      </c>
      <c r="H59" s="27" t="s">
        <v>289</v>
      </c>
      <c r="I59" s="2">
        <v>1</v>
      </c>
      <c r="J59" s="2">
        <v>0</v>
      </c>
    </row>
  </sheetData>
  <sortState xmlns:xlrd2="http://schemas.microsoft.com/office/spreadsheetml/2017/richdata2" ref="H35:J50">
    <sortCondition descending="1" ref="J34:J50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2026-10-03T14:38:29Z</dcterms:modified>
</cp:coreProperties>
</file>