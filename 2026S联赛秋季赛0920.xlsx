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逆水\Desktop\2026S联赛秋季赛\"/>
    </mc:Choice>
  </mc:AlternateContent>
  <xr:revisionPtr revIDLastSave="0" documentId="13_ncr:1_{9539BF2D-8B7C-4802-8E5D-9DFB3CDCC169}" xr6:coauthVersionLast="47" xr6:coauthVersionMax="47" xr10:uidLastSave="{00000000-0000-0000-0000-000000000000}"/>
  <bookViews>
    <workbookView xWindow="12710" yWindow="0" windowWidth="12980" windowHeight="16090" activeTab="1" xr2:uid="{00000000-000D-0000-FFFF-FFFF00000000}"/>
  </bookViews>
  <sheets>
    <sheet name="竞速数据" sheetId="1" r:id="rId1"/>
    <sheet name="道具数据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2" l="1"/>
  <c r="K12" i="2"/>
  <c r="K5" i="2"/>
  <c r="K19" i="2"/>
  <c r="K27" i="2"/>
  <c r="K17" i="2"/>
  <c r="K9" i="2"/>
  <c r="K18" i="2"/>
  <c r="K24" i="2"/>
  <c r="K20" i="2"/>
  <c r="K25" i="2"/>
  <c r="K8" i="2"/>
  <c r="K16" i="2"/>
  <c r="K15" i="2"/>
  <c r="K4" i="2"/>
  <c r="K14" i="2"/>
  <c r="K26" i="2"/>
  <c r="K7" i="2"/>
  <c r="K23" i="2"/>
  <c r="K22" i="2"/>
  <c r="K6" i="2"/>
  <c r="K10" i="2"/>
  <c r="K21" i="2"/>
  <c r="K13" i="2"/>
  <c r="E35" i="2"/>
  <c r="E32" i="2"/>
  <c r="E33" i="2"/>
  <c r="E34" i="2"/>
  <c r="E31" i="2"/>
  <c r="E28" i="2"/>
  <c r="E29" i="2"/>
  <c r="E30" i="2"/>
  <c r="E23" i="2"/>
  <c r="E19" i="2"/>
  <c r="E21" i="2"/>
  <c r="E22" i="2"/>
  <c r="E20" i="2"/>
  <c r="E18" i="2"/>
  <c r="E17" i="2"/>
  <c r="E16" i="2"/>
  <c r="E5" i="2"/>
  <c r="E7" i="2"/>
  <c r="E10" i="2"/>
  <c r="E4" i="2"/>
  <c r="E8" i="2"/>
  <c r="E9" i="2"/>
  <c r="E11" i="2"/>
  <c r="E6" i="2"/>
  <c r="P18" i="1"/>
  <c r="P17" i="1"/>
  <c r="E87" i="1"/>
  <c r="E86" i="1"/>
  <c r="E85" i="1"/>
  <c r="E84" i="1"/>
  <c r="E83" i="1"/>
  <c r="E82" i="1"/>
  <c r="E78" i="1"/>
  <c r="E81" i="1"/>
  <c r="E80" i="1"/>
  <c r="E79" i="1"/>
  <c r="E62" i="1"/>
  <c r="E64" i="1"/>
  <c r="E61" i="1"/>
  <c r="E65" i="1"/>
  <c r="E66" i="1"/>
  <c r="E67" i="1"/>
  <c r="E68" i="1"/>
  <c r="E69" i="1"/>
  <c r="E70" i="1"/>
  <c r="E71" i="1"/>
  <c r="E72" i="1"/>
  <c r="E73" i="1"/>
  <c r="E63" i="1"/>
  <c r="K53" i="1"/>
  <c r="K55" i="1"/>
  <c r="K54" i="1"/>
  <c r="K50" i="1"/>
  <c r="K52" i="1"/>
  <c r="K49" i="1"/>
  <c r="K51" i="1"/>
  <c r="K48" i="1"/>
  <c r="J43" i="1"/>
  <c r="K43" i="1" s="1"/>
  <c r="K39" i="1"/>
  <c r="K42" i="1"/>
  <c r="K37" i="1"/>
  <c r="K40" i="1"/>
  <c r="K41" i="1"/>
  <c r="K38" i="1"/>
  <c r="K36" i="1"/>
  <c r="K18" i="1"/>
  <c r="K17" i="1"/>
  <c r="K20" i="1"/>
  <c r="K19" i="1"/>
  <c r="K21" i="1"/>
  <c r="K16" i="1"/>
  <c r="K22" i="1"/>
  <c r="K23" i="1"/>
  <c r="E39" i="1"/>
  <c r="E38" i="1"/>
  <c r="E43" i="1"/>
  <c r="E46" i="1"/>
  <c r="E37" i="1"/>
  <c r="E48" i="1"/>
  <c r="E41" i="1"/>
  <c r="E45" i="1"/>
  <c r="E50" i="1"/>
  <c r="E49" i="1"/>
  <c r="E42" i="1"/>
  <c r="E47" i="1"/>
  <c r="E40" i="1"/>
  <c r="E44" i="1"/>
  <c r="E51" i="1"/>
  <c r="E36" i="1"/>
  <c r="E18" i="1"/>
  <c r="E28" i="1"/>
  <c r="E25" i="1"/>
  <c r="E31" i="1"/>
  <c r="E30" i="1"/>
  <c r="E21" i="1"/>
  <c r="E26" i="1"/>
  <c r="E24" i="1"/>
  <c r="E16" i="1"/>
  <c r="E19" i="1"/>
  <c r="E20" i="1"/>
  <c r="E29" i="1"/>
  <c r="E17" i="1"/>
  <c r="E22" i="1"/>
  <c r="E23" i="1"/>
  <c r="E27" i="1"/>
  <c r="E10" i="1"/>
  <c r="E11" i="1"/>
  <c r="E4" i="1"/>
  <c r="E8" i="1"/>
  <c r="E5" i="1"/>
  <c r="E6" i="1"/>
  <c r="E7" i="1"/>
  <c r="E9" i="1"/>
</calcChain>
</file>

<file path=xl/sharedStrings.xml><?xml version="1.0" encoding="utf-8"?>
<sst xmlns="http://schemas.openxmlformats.org/spreadsheetml/2006/main" count="256" uniqueCount="85">
  <si>
    <t>排名</t>
    <phoneticPr fontId="1" type="noConversion"/>
  </si>
  <si>
    <t>选手</t>
    <phoneticPr fontId="1" type="noConversion"/>
  </si>
  <si>
    <t>比赛数</t>
    <phoneticPr fontId="1" type="noConversion"/>
  </si>
  <si>
    <t>胜场数</t>
    <phoneticPr fontId="1" type="noConversion"/>
  </si>
  <si>
    <t>胜率</t>
    <phoneticPr fontId="1" type="noConversion"/>
  </si>
  <si>
    <t>计时挑战赛胜率（大局）</t>
    <phoneticPr fontId="1" type="noConversion"/>
  </si>
  <si>
    <t>KZ.狮子</t>
    <phoneticPr fontId="1" type="noConversion"/>
  </si>
  <si>
    <t>QY.闽闽</t>
    <phoneticPr fontId="1" type="noConversion"/>
  </si>
  <si>
    <t>AG.Zhong</t>
    <phoneticPr fontId="1" type="noConversion"/>
  </si>
  <si>
    <t>Wz.阿诺</t>
    <phoneticPr fontId="1" type="noConversion"/>
  </si>
  <si>
    <t>广州狼队.阿升</t>
    <phoneticPr fontId="1" type="noConversion"/>
  </si>
  <si>
    <t>RW.北风</t>
    <phoneticPr fontId="1" type="noConversion"/>
  </si>
  <si>
    <t>RSG.海神</t>
    <phoneticPr fontId="1" type="noConversion"/>
  </si>
  <si>
    <t>XROCK.义</t>
    <phoneticPr fontId="1" type="noConversion"/>
  </si>
  <si>
    <t>2v2竞速小局均分</t>
    <phoneticPr fontId="1" type="noConversion"/>
  </si>
  <si>
    <t>局数</t>
    <phoneticPr fontId="1" type="noConversion"/>
  </si>
  <si>
    <t>总分</t>
    <phoneticPr fontId="1" type="noConversion"/>
  </si>
  <si>
    <t>均分</t>
    <phoneticPr fontId="1" type="noConversion"/>
  </si>
  <si>
    <t>kZ.YanG</t>
    <phoneticPr fontId="1" type="noConversion"/>
  </si>
  <si>
    <t>QY.千寻</t>
    <phoneticPr fontId="1" type="noConversion"/>
  </si>
  <si>
    <t>AG.冬瓜</t>
    <phoneticPr fontId="1" type="noConversion"/>
  </si>
  <si>
    <t>AG.HeiRen</t>
    <phoneticPr fontId="1" type="noConversion"/>
  </si>
  <si>
    <t>Wz.月上</t>
    <phoneticPr fontId="1" type="noConversion"/>
  </si>
  <si>
    <t>广州狼队.shen</t>
    <phoneticPr fontId="1" type="noConversion"/>
  </si>
  <si>
    <t>RW.沃克</t>
    <phoneticPr fontId="1" type="noConversion"/>
  </si>
  <si>
    <t>RSG.晗晗</t>
    <phoneticPr fontId="1" type="noConversion"/>
  </si>
  <si>
    <t>RSG.风仔</t>
    <phoneticPr fontId="1" type="noConversion"/>
  </si>
  <si>
    <t>XROCK.Ani</t>
    <phoneticPr fontId="1" type="noConversion"/>
  </si>
  <si>
    <t>2v2竞速小局冲线率</t>
    <phoneticPr fontId="1" type="noConversion"/>
  </si>
  <si>
    <t>冲线数</t>
    <phoneticPr fontId="1" type="noConversion"/>
  </si>
  <si>
    <t>冲线率</t>
    <phoneticPr fontId="1" type="noConversion"/>
  </si>
  <si>
    <t>队伍2v2竞速均分</t>
    <phoneticPr fontId="1" type="noConversion"/>
  </si>
  <si>
    <t>队伍</t>
    <phoneticPr fontId="1" type="noConversion"/>
  </si>
  <si>
    <t>广州狼队</t>
    <phoneticPr fontId="1" type="noConversion"/>
  </si>
  <si>
    <t>KZ</t>
    <phoneticPr fontId="1" type="noConversion"/>
  </si>
  <si>
    <t>RW</t>
    <phoneticPr fontId="1" type="noConversion"/>
  </si>
  <si>
    <t>XROCK</t>
    <phoneticPr fontId="1" type="noConversion"/>
  </si>
  <si>
    <t>RSG</t>
    <phoneticPr fontId="1" type="noConversion"/>
  </si>
  <si>
    <t>Wz</t>
    <phoneticPr fontId="1" type="noConversion"/>
  </si>
  <si>
    <t>QY</t>
    <phoneticPr fontId="1" type="noConversion"/>
  </si>
  <si>
    <t>AG</t>
    <phoneticPr fontId="1" type="noConversion"/>
  </si>
  <si>
    <t>队伍2v2冲线率</t>
    <phoneticPr fontId="1" type="noConversion"/>
  </si>
  <si>
    <t>队伍2v2大场胜率</t>
    <phoneticPr fontId="1" type="noConversion"/>
  </si>
  <si>
    <t>大场数</t>
    <phoneticPr fontId="1" type="noConversion"/>
  </si>
  <si>
    <t>胜利数</t>
    <phoneticPr fontId="1" type="noConversion"/>
  </si>
  <si>
    <t>选手solo小局胜率</t>
    <phoneticPr fontId="1" type="noConversion"/>
  </si>
  <si>
    <t>小局数</t>
    <phoneticPr fontId="1" type="noConversion"/>
  </si>
  <si>
    <t>选手solo大局胜率</t>
    <phoneticPr fontId="1" type="noConversion"/>
  </si>
  <si>
    <t>大局数</t>
    <phoneticPr fontId="1" type="noConversion"/>
  </si>
  <si>
    <t>KZ.YanG</t>
    <phoneticPr fontId="1" type="noConversion"/>
  </si>
  <si>
    <t>竞速选手MVP次数</t>
    <phoneticPr fontId="1" type="noConversion"/>
  </si>
  <si>
    <t>场数</t>
    <phoneticPr fontId="1" type="noConversion"/>
  </si>
  <si>
    <t>MVP次数</t>
    <phoneticPr fontId="1" type="noConversion"/>
  </si>
  <si>
    <t>道具队伍小局胜率</t>
    <phoneticPr fontId="1" type="noConversion"/>
  </si>
  <si>
    <t>道具队伍大局胜率</t>
    <phoneticPr fontId="1" type="noConversion"/>
  </si>
  <si>
    <t>道具队伍净胜分</t>
    <phoneticPr fontId="1" type="noConversion"/>
  </si>
  <si>
    <t>净胜分</t>
    <phoneticPr fontId="1" type="noConversion"/>
  </si>
  <si>
    <t>平均</t>
    <phoneticPr fontId="1" type="noConversion"/>
  </si>
  <si>
    <t>道具选手小局冲线率</t>
    <phoneticPr fontId="1" type="noConversion"/>
  </si>
  <si>
    <t>KZ.梦</t>
    <phoneticPr fontId="1" type="noConversion"/>
  </si>
  <si>
    <t>KZ.雾</t>
    <phoneticPr fontId="1" type="noConversion"/>
  </si>
  <si>
    <t>KZ.太阳</t>
    <phoneticPr fontId="1" type="noConversion"/>
  </si>
  <si>
    <t>QY.小鞠</t>
    <phoneticPr fontId="1" type="noConversion"/>
  </si>
  <si>
    <t>QY.玄奘</t>
    <phoneticPr fontId="1" type="noConversion"/>
  </si>
  <si>
    <t>QY.路</t>
    <phoneticPr fontId="1" type="noConversion"/>
  </si>
  <si>
    <t>Wz.最</t>
    <phoneticPr fontId="1" type="noConversion"/>
  </si>
  <si>
    <t>Wz.二嘉</t>
    <phoneticPr fontId="1" type="noConversion"/>
  </si>
  <si>
    <t>AG.yu</t>
    <phoneticPr fontId="1" type="noConversion"/>
  </si>
  <si>
    <t>AG.飞雪</t>
    <phoneticPr fontId="1" type="noConversion"/>
  </si>
  <si>
    <t>AG.波波</t>
    <phoneticPr fontId="1" type="noConversion"/>
  </si>
  <si>
    <t>广州狼队.麟龙</t>
    <phoneticPr fontId="1" type="noConversion"/>
  </si>
  <si>
    <t>广州狼队.旧言</t>
    <phoneticPr fontId="1" type="noConversion"/>
  </si>
  <si>
    <t>广州狼队.小白龙</t>
    <phoneticPr fontId="1" type="noConversion"/>
  </si>
  <si>
    <t>RW.野鹤</t>
    <phoneticPr fontId="1" type="noConversion"/>
  </si>
  <si>
    <t>RW.伊</t>
    <phoneticPr fontId="1" type="noConversion"/>
  </si>
  <si>
    <t>RW.飞鱼</t>
    <phoneticPr fontId="1" type="noConversion"/>
  </si>
  <si>
    <t>XROCK.飒飒</t>
    <phoneticPr fontId="1" type="noConversion"/>
  </si>
  <si>
    <t>XROCK.Peng</t>
    <phoneticPr fontId="1" type="noConversion"/>
  </si>
  <si>
    <t>XROCK.影子</t>
    <phoneticPr fontId="1" type="noConversion"/>
  </si>
  <si>
    <t>RSG.Duck</t>
    <phoneticPr fontId="1" type="noConversion"/>
  </si>
  <si>
    <t>RSG.念旧</t>
    <phoneticPr fontId="1" type="noConversion"/>
  </si>
  <si>
    <t>RSG.绯鸢</t>
    <phoneticPr fontId="1" type="noConversion"/>
  </si>
  <si>
    <t>道具选手MVP次数</t>
    <phoneticPr fontId="1" type="noConversion"/>
  </si>
  <si>
    <t>Wz.北柠</t>
    <phoneticPr fontId="1" type="noConversion"/>
  </si>
  <si>
    <t>截至2026.09.20比赛结束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</si>
</sst>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70C0"/>
      <name val="等线"/>
      <family val="2"/>
      <scheme val="minor"/>
    </font>
    <font>
      <sz val="11"/>
      <color rgb="FF0070C0"/>
      <name val="等线"/>
      <family val="3"/>
      <charset val="134"/>
      <scheme val="minor"/>
    </font>
    <font>
      <sz val="11"/>
      <color theme="7" tint="-0.499984740745262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rgb="FFA50021"/>
      <name val="等线"/>
      <family val="2"/>
      <scheme val="minor"/>
    </font>
    <font>
      <sz val="11"/>
      <color rgb="FFA50021"/>
      <name val="等线"/>
      <family val="3"/>
      <charset val="134"/>
      <scheme val="minor"/>
    </font>
    <font>
      <sz val="11"/>
      <color theme="7" tint="-0.249977111117893"/>
      <name val="等线"/>
      <family val="2"/>
      <scheme val="minor"/>
    </font>
    <font>
      <sz val="11"/>
      <color theme="7" tint="-0.249977111117893"/>
      <name val="等线"/>
      <family val="3"/>
      <charset val="134"/>
      <scheme val="minor"/>
    </font>
    <font>
      <sz val="11"/>
      <color rgb="FF7030A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"/>
  <sheetViews>
    <sheetView topLeftCell="A58" zoomScale="128" zoomScaleNormal="128" workbookViewId="0">
      <selection activeCell="A75" sqref="A75:E81"/>
    </sheetView>
  </sheetViews>
  <sheetFormatPr defaultRowHeight="14" x14ac:dyDescent="0.3"/>
  <cols>
    <col min="1" max="1" width="6.6640625" customWidth="1"/>
    <col min="2" max="2" width="12.58203125" customWidth="1"/>
    <col min="14" max="14" width="12.25" customWidth="1"/>
  </cols>
  <sheetData>
    <row r="1" spans="1:16" x14ac:dyDescent="0.3">
      <c r="A1" s="21" t="s">
        <v>5</v>
      </c>
      <c r="B1" s="21"/>
      <c r="C1" s="21"/>
      <c r="D1" s="21"/>
      <c r="E1" s="21"/>
    </row>
    <row r="2" spans="1:16" x14ac:dyDescent="0.3">
      <c r="A2" s="18" t="s">
        <v>84</v>
      </c>
      <c r="B2" s="19"/>
      <c r="C2" s="19"/>
      <c r="D2" s="19"/>
      <c r="E2" s="20"/>
    </row>
    <row r="3" spans="1:1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16" x14ac:dyDescent="0.3">
      <c r="A4" s="1">
        <v>1</v>
      </c>
      <c r="B4" s="12" t="s">
        <v>9</v>
      </c>
      <c r="C4" s="1">
        <v>4</v>
      </c>
      <c r="D4" s="1">
        <v>4</v>
      </c>
      <c r="E4" s="4">
        <f>D4/C4*100%</f>
        <v>1</v>
      </c>
    </row>
    <row r="5" spans="1:16" x14ac:dyDescent="0.3">
      <c r="A5" s="1">
        <v>2</v>
      </c>
      <c r="B5" s="10" t="s">
        <v>11</v>
      </c>
      <c r="C5" s="1">
        <v>4</v>
      </c>
      <c r="D5" s="1">
        <v>3</v>
      </c>
      <c r="E5" s="4">
        <f>D5/C5*100%</f>
        <v>0.75</v>
      </c>
    </row>
    <row r="6" spans="1:16" x14ac:dyDescent="0.3">
      <c r="A6" s="1">
        <v>3</v>
      </c>
      <c r="B6" s="1" t="s">
        <v>12</v>
      </c>
      <c r="C6" s="1">
        <v>4</v>
      </c>
      <c r="D6" s="1">
        <v>3</v>
      </c>
      <c r="E6" s="4">
        <f>D6/C6*100%</f>
        <v>0.75</v>
      </c>
    </row>
    <row r="7" spans="1:16" x14ac:dyDescent="0.3">
      <c r="A7" s="1">
        <v>4</v>
      </c>
      <c r="B7" s="15" t="s">
        <v>13</v>
      </c>
      <c r="C7" s="1">
        <v>4</v>
      </c>
      <c r="D7" s="1">
        <v>2</v>
      </c>
      <c r="E7" s="4">
        <f>D7/C7*100%</f>
        <v>0.5</v>
      </c>
    </row>
    <row r="8" spans="1:16" x14ac:dyDescent="0.3">
      <c r="A8" s="1">
        <v>5</v>
      </c>
      <c r="B8" s="14" t="s">
        <v>10</v>
      </c>
      <c r="C8" s="1">
        <v>4</v>
      </c>
      <c r="D8" s="1">
        <v>2</v>
      </c>
      <c r="E8" s="4">
        <f>D8/C8*100%</f>
        <v>0.5</v>
      </c>
    </row>
    <row r="9" spans="1:16" x14ac:dyDescent="0.3">
      <c r="A9" s="1">
        <v>6</v>
      </c>
      <c r="B9" s="7" t="s">
        <v>6</v>
      </c>
      <c r="C9" s="1">
        <v>4</v>
      </c>
      <c r="D9" s="1">
        <v>1</v>
      </c>
      <c r="E9" s="4">
        <f>D9/C9*100%</f>
        <v>0.25</v>
      </c>
    </row>
    <row r="10" spans="1:16" x14ac:dyDescent="0.3">
      <c r="A10" s="1">
        <v>7</v>
      </c>
      <c r="B10" s="8" t="s">
        <v>7</v>
      </c>
      <c r="C10" s="1">
        <v>4</v>
      </c>
      <c r="D10" s="1">
        <v>1</v>
      </c>
      <c r="E10" s="4">
        <f>D10/C10*100%</f>
        <v>0.25</v>
      </c>
    </row>
    <row r="11" spans="1:16" x14ac:dyDescent="0.3">
      <c r="A11" s="1">
        <v>8</v>
      </c>
      <c r="B11" s="10" t="s">
        <v>8</v>
      </c>
      <c r="C11" s="1">
        <v>4</v>
      </c>
      <c r="D11" s="1">
        <v>0</v>
      </c>
      <c r="E11" s="4">
        <f>D11/C11*100%</f>
        <v>0</v>
      </c>
    </row>
    <row r="13" spans="1:16" x14ac:dyDescent="0.3">
      <c r="A13" s="18" t="s">
        <v>14</v>
      </c>
      <c r="B13" s="19"/>
      <c r="C13" s="19"/>
      <c r="D13" s="19"/>
      <c r="E13" s="20"/>
      <c r="G13" s="21" t="s">
        <v>31</v>
      </c>
      <c r="H13" s="21"/>
      <c r="I13" s="21"/>
      <c r="J13" s="21"/>
      <c r="K13" s="21"/>
      <c r="M13" s="21" t="s">
        <v>50</v>
      </c>
      <c r="N13" s="21"/>
      <c r="O13" s="21"/>
      <c r="P13" s="21"/>
    </row>
    <row r="14" spans="1:16" x14ac:dyDescent="0.3">
      <c r="A14" s="19" t="s">
        <v>84</v>
      </c>
      <c r="B14" s="19"/>
      <c r="C14" s="19"/>
      <c r="D14" s="19"/>
      <c r="E14" s="20"/>
      <c r="G14" s="21" t="s">
        <v>84</v>
      </c>
      <c r="H14" s="21"/>
      <c r="I14" s="21"/>
      <c r="J14" s="21"/>
      <c r="K14" s="21"/>
      <c r="M14" s="18" t="s">
        <v>84</v>
      </c>
      <c r="N14" s="19"/>
      <c r="O14" s="19"/>
      <c r="P14" s="20"/>
    </row>
    <row r="15" spans="1:16" x14ac:dyDescent="0.3">
      <c r="A15" s="1" t="s">
        <v>0</v>
      </c>
      <c r="B15" s="1" t="s">
        <v>1</v>
      </c>
      <c r="C15" s="1" t="s">
        <v>15</v>
      </c>
      <c r="D15" s="1" t="s">
        <v>16</v>
      </c>
      <c r="E15" s="1" t="s">
        <v>17</v>
      </c>
      <c r="G15" s="1" t="s">
        <v>0</v>
      </c>
      <c r="H15" s="1" t="s">
        <v>32</v>
      </c>
      <c r="I15" s="1" t="s">
        <v>15</v>
      </c>
      <c r="J15" s="1" t="s">
        <v>16</v>
      </c>
      <c r="K15" s="1" t="s">
        <v>17</v>
      </c>
      <c r="M15" s="1" t="s">
        <v>0</v>
      </c>
      <c r="N15" s="1" t="s">
        <v>1</v>
      </c>
      <c r="O15" s="1" t="s">
        <v>51</v>
      </c>
      <c r="P15" s="1" t="s">
        <v>52</v>
      </c>
    </row>
    <row r="16" spans="1:16" x14ac:dyDescent="0.3">
      <c r="A16" s="1">
        <v>1</v>
      </c>
      <c r="B16" s="14" t="s">
        <v>23</v>
      </c>
      <c r="C16" s="1">
        <v>32</v>
      </c>
      <c r="D16" s="1">
        <v>335</v>
      </c>
      <c r="E16" s="5">
        <f>D16/C16</f>
        <v>10.46875</v>
      </c>
      <c r="G16" s="1">
        <v>1</v>
      </c>
      <c r="H16" s="14" t="s">
        <v>33</v>
      </c>
      <c r="I16" s="1">
        <v>32</v>
      </c>
      <c r="J16" s="1">
        <v>640</v>
      </c>
      <c r="K16" s="5">
        <f>J16/I16</f>
        <v>20</v>
      </c>
      <c r="M16" s="1">
        <v>1</v>
      </c>
      <c r="N16" s="14" t="s">
        <v>23</v>
      </c>
      <c r="O16" s="1">
        <v>4</v>
      </c>
      <c r="P16" s="1">
        <v>4</v>
      </c>
    </row>
    <row r="17" spans="1:16" x14ac:dyDescent="0.3">
      <c r="A17" s="1">
        <v>2</v>
      </c>
      <c r="B17" s="1" t="s">
        <v>26</v>
      </c>
      <c r="C17" s="1">
        <v>32</v>
      </c>
      <c r="D17" s="1">
        <v>321</v>
      </c>
      <c r="E17" s="5">
        <f>D17/C17</f>
        <v>10.03125</v>
      </c>
      <c r="G17" s="1">
        <v>2</v>
      </c>
      <c r="H17" s="9" t="s">
        <v>35</v>
      </c>
      <c r="I17" s="1">
        <v>32</v>
      </c>
      <c r="J17" s="1">
        <v>628</v>
      </c>
      <c r="K17" s="5">
        <f>J17/I17</f>
        <v>19.625</v>
      </c>
      <c r="M17" s="1">
        <v>2</v>
      </c>
      <c r="N17" s="7" t="s">
        <v>49</v>
      </c>
      <c r="O17" s="1">
        <v>4</v>
      </c>
      <c r="P17" s="1">
        <f>1+1</f>
        <v>2</v>
      </c>
    </row>
    <row r="18" spans="1:16" x14ac:dyDescent="0.3">
      <c r="A18" s="1">
        <v>3</v>
      </c>
      <c r="B18" s="7" t="s">
        <v>49</v>
      </c>
      <c r="C18" s="1">
        <v>34</v>
      </c>
      <c r="D18" s="1">
        <v>338</v>
      </c>
      <c r="E18" s="5">
        <f>D18/C18</f>
        <v>9.9411764705882355</v>
      </c>
      <c r="G18" s="1">
        <v>3</v>
      </c>
      <c r="H18" s="6" t="s">
        <v>34</v>
      </c>
      <c r="I18" s="1">
        <v>34</v>
      </c>
      <c r="J18" s="1">
        <v>656</v>
      </c>
      <c r="K18" s="5">
        <f>J18/I18</f>
        <v>19.294117647058822</v>
      </c>
      <c r="M18" s="1">
        <v>3</v>
      </c>
      <c r="N18" s="10" t="s">
        <v>11</v>
      </c>
      <c r="O18" s="1">
        <v>4</v>
      </c>
      <c r="P18" s="1">
        <f>1+1</f>
        <v>2</v>
      </c>
    </row>
    <row r="19" spans="1:16" x14ac:dyDescent="0.3">
      <c r="A19" s="1">
        <v>4</v>
      </c>
      <c r="B19" s="9" t="s">
        <v>24</v>
      </c>
      <c r="C19" s="1">
        <v>32</v>
      </c>
      <c r="D19" s="1">
        <v>316</v>
      </c>
      <c r="E19" s="5">
        <f>D19/C19</f>
        <v>9.875</v>
      </c>
      <c r="G19" s="1">
        <v>4</v>
      </c>
      <c r="H19" s="1" t="s">
        <v>37</v>
      </c>
      <c r="I19" s="1">
        <v>32</v>
      </c>
      <c r="J19" s="1">
        <v>617</v>
      </c>
      <c r="K19" s="5">
        <f>J19/I19</f>
        <v>19.28125</v>
      </c>
      <c r="M19" s="1">
        <v>4</v>
      </c>
      <c r="N19" s="1" t="s">
        <v>26</v>
      </c>
      <c r="O19" s="1">
        <v>4</v>
      </c>
      <c r="P19" s="1">
        <v>3</v>
      </c>
    </row>
    <row r="20" spans="1:16" x14ac:dyDescent="0.3">
      <c r="A20" s="1">
        <v>5</v>
      </c>
      <c r="B20" s="10" t="s">
        <v>11</v>
      </c>
      <c r="C20" s="1">
        <v>32</v>
      </c>
      <c r="D20" s="1">
        <v>312</v>
      </c>
      <c r="E20" s="5">
        <f>D20/C20</f>
        <v>9.75</v>
      </c>
      <c r="G20" s="1">
        <v>5</v>
      </c>
      <c r="H20" s="15" t="s">
        <v>36</v>
      </c>
      <c r="I20" s="1">
        <v>36</v>
      </c>
      <c r="J20" s="1">
        <v>694</v>
      </c>
      <c r="K20" s="5">
        <f>J20/I20</f>
        <v>19.277777777777779</v>
      </c>
      <c r="M20" s="1">
        <v>5</v>
      </c>
      <c r="N20" s="15" t="s">
        <v>13</v>
      </c>
      <c r="O20" s="1">
        <v>4</v>
      </c>
      <c r="P20" s="1">
        <v>1</v>
      </c>
    </row>
    <row r="21" spans="1:16" x14ac:dyDescent="0.3">
      <c r="A21" s="1">
        <v>6</v>
      </c>
      <c r="B21" s="11" t="s">
        <v>22</v>
      </c>
      <c r="C21" s="1">
        <v>30</v>
      </c>
      <c r="D21" s="1">
        <v>292</v>
      </c>
      <c r="E21" s="5">
        <f>D21/C21</f>
        <v>9.7333333333333325</v>
      </c>
      <c r="G21" s="1">
        <v>6</v>
      </c>
      <c r="H21" s="12" t="s">
        <v>38</v>
      </c>
      <c r="I21" s="1">
        <v>30</v>
      </c>
      <c r="J21" s="1">
        <v>573</v>
      </c>
      <c r="K21" s="5">
        <f>J21/I21</f>
        <v>19.100000000000001</v>
      </c>
      <c r="M21" s="1">
        <v>6</v>
      </c>
      <c r="N21" s="12" t="s">
        <v>9</v>
      </c>
      <c r="O21" s="1">
        <v>4</v>
      </c>
      <c r="P21" s="1">
        <v>1</v>
      </c>
    </row>
    <row r="22" spans="1:16" x14ac:dyDescent="0.3">
      <c r="A22" s="1">
        <v>7</v>
      </c>
      <c r="B22" s="15" t="s">
        <v>27</v>
      </c>
      <c r="C22" s="1">
        <v>36</v>
      </c>
      <c r="D22" s="1">
        <v>349</v>
      </c>
      <c r="E22" s="5">
        <f>D22/C22</f>
        <v>9.6944444444444446</v>
      </c>
      <c r="G22" s="1">
        <v>7</v>
      </c>
      <c r="H22" s="8" t="s">
        <v>39</v>
      </c>
      <c r="I22" s="1">
        <v>36</v>
      </c>
      <c r="J22" s="1">
        <v>677</v>
      </c>
      <c r="K22" s="5">
        <f>J22/I22</f>
        <v>18.805555555555557</v>
      </c>
      <c r="M22" s="1">
        <v>7</v>
      </c>
      <c r="N22" s="15" t="s">
        <v>27</v>
      </c>
      <c r="O22" s="1">
        <v>4</v>
      </c>
      <c r="P22" s="1">
        <v>1</v>
      </c>
    </row>
    <row r="23" spans="1:16" x14ac:dyDescent="0.3">
      <c r="A23" s="1">
        <v>8</v>
      </c>
      <c r="B23" s="15" t="s">
        <v>13</v>
      </c>
      <c r="C23" s="1">
        <v>36</v>
      </c>
      <c r="D23" s="1">
        <v>345</v>
      </c>
      <c r="E23" s="5">
        <f>D23/C23</f>
        <v>9.5833333333333339</v>
      </c>
      <c r="G23" s="1">
        <v>8</v>
      </c>
      <c r="H23" s="9" t="s">
        <v>40</v>
      </c>
      <c r="I23" s="1">
        <v>28</v>
      </c>
      <c r="J23" s="1">
        <v>497</v>
      </c>
      <c r="K23" s="5">
        <f>J23/I23</f>
        <v>17.75</v>
      </c>
      <c r="M23" s="1">
        <v>8</v>
      </c>
      <c r="N23" s="9" t="s">
        <v>24</v>
      </c>
      <c r="O23" s="1">
        <v>4</v>
      </c>
      <c r="P23" s="1">
        <v>1</v>
      </c>
    </row>
    <row r="24" spans="1:16" x14ac:dyDescent="0.3">
      <c r="A24" s="1">
        <v>9</v>
      </c>
      <c r="B24" s="13" t="s">
        <v>10</v>
      </c>
      <c r="C24" s="1">
        <v>32</v>
      </c>
      <c r="D24" s="1">
        <v>305</v>
      </c>
      <c r="E24" s="5">
        <f>D24/C24</f>
        <v>9.53125</v>
      </c>
      <c r="M24" s="1">
        <v>9</v>
      </c>
      <c r="N24" s="6" t="s">
        <v>6</v>
      </c>
      <c r="O24" s="1">
        <v>4</v>
      </c>
      <c r="P24" s="1">
        <v>0</v>
      </c>
    </row>
    <row r="25" spans="1:16" x14ac:dyDescent="0.3">
      <c r="A25" s="1">
        <v>10</v>
      </c>
      <c r="B25" s="8" t="s">
        <v>19</v>
      </c>
      <c r="C25" s="1">
        <v>36</v>
      </c>
      <c r="D25" s="1">
        <v>342</v>
      </c>
      <c r="E25" s="5">
        <f>D25/C25</f>
        <v>9.5</v>
      </c>
      <c r="M25" s="1">
        <v>10</v>
      </c>
      <c r="N25" s="11" t="s">
        <v>22</v>
      </c>
      <c r="O25" s="1">
        <v>4</v>
      </c>
      <c r="P25" s="1">
        <v>1</v>
      </c>
    </row>
    <row r="26" spans="1:16" x14ac:dyDescent="0.3">
      <c r="A26" s="1">
        <v>11</v>
      </c>
      <c r="B26" s="12" t="s">
        <v>9</v>
      </c>
      <c r="C26" s="1">
        <v>30</v>
      </c>
      <c r="D26" s="1">
        <v>281</v>
      </c>
      <c r="E26" s="5">
        <f>D26/C26</f>
        <v>9.3666666666666671</v>
      </c>
      <c r="M26" s="1">
        <v>11</v>
      </c>
      <c r="N26" s="13" t="s">
        <v>10</v>
      </c>
      <c r="O26" s="1">
        <v>4</v>
      </c>
      <c r="P26" s="1">
        <v>0</v>
      </c>
    </row>
    <row r="27" spans="1:16" x14ac:dyDescent="0.3">
      <c r="A27" s="1">
        <v>12</v>
      </c>
      <c r="B27" s="6" t="s">
        <v>6</v>
      </c>
      <c r="C27" s="1">
        <v>34</v>
      </c>
      <c r="D27" s="1">
        <v>318</v>
      </c>
      <c r="E27" s="5">
        <f>D27/C27</f>
        <v>9.3529411764705888</v>
      </c>
      <c r="M27" s="1">
        <v>12</v>
      </c>
      <c r="N27" s="8" t="s">
        <v>7</v>
      </c>
      <c r="O27" s="1">
        <v>4</v>
      </c>
      <c r="P27" s="1">
        <v>0</v>
      </c>
    </row>
    <row r="28" spans="1:16" x14ac:dyDescent="0.3">
      <c r="A28" s="1">
        <v>13</v>
      </c>
      <c r="B28" s="8" t="s">
        <v>7</v>
      </c>
      <c r="C28" s="1">
        <v>36</v>
      </c>
      <c r="D28" s="1">
        <v>335</v>
      </c>
      <c r="E28" s="5">
        <f>D28/C28</f>
        <v>9.3055555555555554</v>
      </c>
      <c r="M28" s="1">
        <v>13</v>
      </c>
      <c r="N28" s="10" t="s">
        <v>21</v>
      </c>
      <c r="O28" s="1">
        <v>4</v>
      </c>
      <c r="P28" s="1">
        <v>0</v>
      </c>
    </row>
    <row r="29" spans="1:16" x14ac:dyDescent="0.3">
      <c r="A29" s="1">
        <v>14</v>
      </c>
      <c r="B29" s="1" t="s">
        <v>25</v>
      </c>
      <c r="C29" s="1">
        <v>32</v>
      </c>
      <c r="D29" s="1">
        <v>296</v>
      </c>
      <c r="E29" s="5">
        <f>D29/C29</f>
        <v>9.25</v>
      </c>
      <c r="M29" s="1">
        <v>14</v>
      </c>
      <c r="N29" s="1" t="s">
        <v>25</v>
      </c>
      <c r="O29" s="1">
        <v>4</v>
      </c>
      <c r="P29" s="1">
        <v>0</v>
      </c>
    </row>
    <row r="30" spans="1:16" x14ac:dyDescent="0.3">
      <c r="A30" s="1">
        <v>15</v>
      </c>
      <c r="B30" s="10" t="s">
        <v>21</v>
      </c>
      <c r="C30" s="1">
        <v>28</v>
      </c>
      <c r="D30" s="1">
        <v>249</v>
      </c>
      <c r="E30" s="5">
        <f>D30/C30</f>
        <v>8.8928571428571423</v>
      </c>
      <c r="M30" s="1">
        <v>15</v>
      </c>
      <c r="N30" s="8" t="s">
        <v>19</v>
      </c>
      <c r="O30" s="1">
        <v>4</v>
      </c>
      <c r="P30" s="1">
        <v>0</v>
      </c>
    </row>
    <row r="31" spans="1:16" x14ac:dyDescent="0.3">
      <c r="A31" s="1">
        <v>16</v>
      </c>
      <c r="B31" s="9" t="s">
        <v>20</v>
      </c>
      <c r="C31" s="1">
        <v>28</v>
      </c>
      <c r="D31" s="1">
        <v>248</v>
      </c>
      <c r="E31" s="5">
        <f>D31/C31</f>
        <v>8.8571428571428577</v>
      </c>
      <c r="M31" s="1">
        <v>16</v>
      </c>
      <c r="N31" s="9" t="s">
        <v>20</v>
      </c>
      <c r="O31" s="1">
        <v>4</v>
      </c>
      <c r="P31" s="1">
        <v>0</v>
      </c>
    </row>
    <row r="33" spans="1:11" x14ac:dyDescent="0.3">
      <c r="A33" s="18" t="s">
        <v>28</v>
      </c>
      <c r="B33" s="19"/>
      <c r="C33" s="19"/>
      <c r="D33" s="19"/>
      <c r="E33" s="20"/>
      <c r="G33" s="21" t="s">
        <v>41</v>
      </c>
      <c r="H33" s="21"/>
      <c r="I33" s="21"/>
      <c r="J33" s="21"/>
      <c r="K33" s="21"/>
    </row>
    <row r="34" spans="1:11" x14ac:dyDescent="0.3">
      <c r="A34" s="18" t="s">
        <v>84</v>
      </c>
      <c r="B34" s="19"/>
      <c r="C34" s="19"/>
      <c r="D34" s="19"/>
      <c r="E34" s="20"/>
      <c r="G34" s="21" t="s">
        <v>84</v>
      </c>
      <c r="H34" s="21"/>
      <c r="I34" s="21"/>
      <c r="J34" s="21"/>
      <c r="K34" s="21"/>
    </row>
    <row r="35" spans="1:11" x14ac:dyDescent="0.3">
      <c r="A35" s="1" t="s">
        <v>0</v>
      </c>
      <c r="B35" s="1" t="s">
        <v>1</v>
      </c>
      <c r="C35" s="1" t="s">
        <v>15</v>
      </c>
      <c r="D35" s="1" t="s">
        <v>29</v>
      </c>
      <c r="E35" s="1" t="s">
        <v>30</v>
      </c>
      <c r="G35" s="1" t="s">
        <v>0</v>
      </c>
      <c r="H35" s="1" t="s">
        <v>32</v>
      </c>
      <c r="I35" s="1" t="s">
        <v>15</v>
      </c>
      <c r="J35" s="1" t="s">
        <v>29</v>
      </c>
      <c r="K35" s="1" t="s">
        <v>30</v>
      </c>
    </row>
    <row r="36" spans="1:11" x14ac:dyDescent="0.3">
      <c r="A36" s="1">
        <v>1</v>
      </c>
      <c r="B36" s="14" t="s">
        <v>23</v>
      </c>
      <c r="C36" s="1">
        <v>32</v>
      </c>
      <c r="D36" s="1">
        <v>17</v>
      </c>
      <c r="E36" s="4">
        <f>D36/C36</f>
        <v>0.53125</v>
      </c>
      <c r="G36" s="1">
        <v>1</v>
      </c>
      <c r="H36" s="14" t="s">
        <v>33</v>
      </c>
      <c r="I36" s="1">
        <v>32</v>
      </c>
      <c r="J36" s="1">
        <v>22</v>
      </c>
      <c r="K36" s="4">
        <f>J36/I36</f>
        <v>0.6875</v>
      </c>
    </row>
    <row r="37" spans="1:11" x14ac:dyDescent="0.3">
      <c r="A37" s="1">
        <v>2</v>
      </c>
      <c r="B37" s="1" t="s">
        <v>26</v>
      </c>
      <c r="C37" s="1">
        <v>32</v>
      </c>
      <c r="D37" s="1">
        <v>11</v>
      </c>
      <c r="E37" s="4">
        <f>D37/C37</f>
        <v>0.34375</v>
      </c>
      <c r="G37" s="1">
        <v>2</v>
      </c>
      <c r="H37" s="1" t="s">
        <v>37</v>
      </c>
      <c r="I37" s="1">
        <v>32</v>
      </c>
      <c r="J37" s="1">
        <v>20</v>
      </c>
      <c r="K37" s="4">
        <f>J37/I37</f>
        <v>0.625</v>
      </c>
    </row>
    <row r="38" spans="1:11" x14ac:dyDescent="0.3">
      <c r="A38" s="1">
        <v>3</v>
      </c>
      <c r="B38" s="10" t="s">
        <v>11</v>
      </c>
      <c r="C38" s="1">
        <v>32</v>
      </c>
      <c r="D38" s="1">
        <v>10</v>
      </c>
      <c r="E38" s="4">
        <f>D38/C38</f>
        <v>0.3125</v>
      </c>
      <c r="G38" s="1">
        <v>3</v>
      </c>
      <c r="H38" s="9" t="s">
        <v>35</v>
      </c>
      <c r="I38" s="1">
        <v>32</v>
      </c>
      <c r="J38" s="1">
        <v>18</v>
      </c>
      <c r="K38" s="4">
        <f>J38/I38</f>
        <v>0.5625</v>
      </c>
    </row>
    <row r="39" spans="1:11" x14ac:dyDescent="0.3">
      <c r="A39" s="1">
        <v>4</v>
      </c>
      <c r="B39" s="7" t="s">
        <v>49</v>
      </c>
      <c r="C39" s="1">
        <v>34</v>
      </c>
      <c r="D39" s="1">
        <v>10</v>
      </c>
      <c r="E39" s="4">
        <f>D39/C39</f>
        <v>0.29411764705882354</v>
      </c>
      <c r="G39" s="1">
        <v>4</v>
      </c>
      <c r="H39" s="8" t="s">
        <v>39</v>
      </c>
      <c r="I39" s="1">
        <v>36</v>
      </c>
      <c r="J39" s="1">
        <v>18</v>
      </c>
      <c r="K39" s="4">
        <f>J39/I39</f>
        <v>0.5</v>
      </c>
    </row>
    <row r="40" spans="1:11" x14ac:dyDescent="0.3">
      <c r="A40" s="1">
        <v>5</v>
      </c>
      <c r="B40" s="1" t="s">
        <v>25</v>
      </c>
      <c r="C40" s="1">
        <v>32</v>
      </c>
      <c r="D40" s="1">
        <v>9</v>
      </c>
      <c r="E40" s="4">
        <f>D40/C40</f>
        <v>0.28125</v>
      </c>
      <c r="G40" s="1">
        <v>5</v>
      </c>
      <c r="H40" s="15" t="s">
        <v>36</v>
      </c>
      <c r="I40" s="1">
        <v>36</v>
      </c>
      <c r="J40" s="1">
        <v>17</v>
      </c>
      <c r="K40" s="4">
        <f>J40/I40</f>
        <v>0.47222222222222221</v>
      </c>
    </row>
    <row r="41" spans="1:11" x14ac:dyDescent="0.3">
      <c r="A41" s="1">
        <v>6</v>
      </c>
      <c r="B41" s="15" t="s">
        <v>27</v>
      </c>
      <c r="C41" s="1">
        <v>36</v>
      </c>
      <c r="D41" s="1">
        <v>10</v>
      </c>
      <c r="E41" s="4">
        <f>D41/C41</f>
        <v>0.27777777777777779</v>
      </c>
      <c r="G41" s="1">
        <v>6</v>
      </c>
      <c r="H41" s="6" t="s">
        <v>34</v>
      </c>
      <c r="I41" s="1">
        <v>34</v>
      </c>
      <c r="J41" s="1">
        <v>16</v>
      </c>
      <c r="K41" s="4">
        <f>J41/I41</f>
        <v>0.47058823529411764</v>
      </c>
    </row>
    <row r="42" spans="1:11" x14ac:dyDescent="0.3">
      <c r="A42" s="1">
        <v>7</v>
      </c>
      <c r="B42" s="8" t="s">
        <v>7</v>
      </c>
      <c r="C42" s="1">
        <v>36</v>
      </c>
      <c r="D42" s="1">
        <v>9</v>
      </c>
      <c r="E42" s="4">
        <f>D42/C42</f>
        <v>0.25</v>
      </c>
      <c r="G42" s="1">
        <v>7</v>
      </c>
      <c r="H42" s="12" t="s">
        <v>38</v>
      </c>
      <c r="I42" s="1">
        <v>30</v>
      </c>
      <c r="J42" s="1">
        <v>11</v>
      </c>
      <c r="K42" s="4">
        <f>J42/I42</f>
        <v>0.36666666666666664</v>
      </c>
    </row>
    <row r="43" spans="1:11" x14ac:dyDescent="0.3">
      <c r="A43" s="1">
        <v>8</v>
      </c>
      <c r="B43" s="9" t="s">
        <v>24</v>
      </c>
      <c r="C43" s="1">
        <v>32</v>
      </c>
      <c r="D43" s="1">
        <v>8</v>
      </c>
      <c r="E43" s="4">
        <f>D43/C43</f>
        <v>0.25</v>
      </c>
      <c r="G43" s="1">
        <v>8</v>
      </c>
      <c r="H43" s="9" t="s">
        <v>40</v>
      </c>
      <c r="I43" s="1">
        <v>28</v>
      </c>
      <c r="J43" s="1">
        <f>5+3</f>
        <v>8</v>
      </c>
      <c r="K43" s="4">
        <f>J43/I43</f>
        <v>0.2857142857142857</v>
      </c>
    </row>
    <row r="44" spans="1:11" x14ac:dyDescent="0.3">
      <c r="A44" s="1">
        <v>9</v>
      </c>
      <c r="B44" s="8" t="s">
        <v>19</v>
      </c>
      <c r="C44" s="1">
        <v>36</v>
      </c>
      <c r="D44" s="1">
        <v>9</v>
      </c>
      <c r="E44" s="4">
        <f>D44/C44</f>
        <v>0.25</v>
      </c>
    </row>
    <row r="45" spans="1:11" x14ac:dyDescent="0.3">
      <c r="A45" s="1">
        <v>10</v>
      </c>
      <c r="B45" s="11" t="s">
        <v>22</v>
      </c>
      <c r="C45" s="1">
        <v>30</v>
      </c>
      <c r="D45" s="1">
        <v>6</v>
      </c>
      <c r="E45" s="4">
        <f>D45/C45</f>
        <v>0.2</v>
      </c>
      <c r="G45" s="21" t="s">
        <v>42</v>
      </c>
      <c r="H45" s="21"/>
      <c r="I45" s="21"/>
      <c r="J45" s="21"/>
      <c r="K45" s="21"/>
    </row>
    <row r="46" spans="1:11" x14ac:dyDescent="0.3">
      <c r="A46" s="1">
        <v>11</v>
      </c>
      <c r="B46" s="15" t="s">
        <v>13</v>
      </c>
      <c r="C46" s="1">
        <v>36</v>
      </c>
      <c r="D46" s="1">
        <v>7</v>
      </c>
      <c r="E46" s="4">
        <f>D46/C46</f>
        <v>0.19444444444444445</v>
      </c>
      <c r="G46" s="21" t="s">
        <v>84</v>
      </c>
      <c r="H46" s="21"/>
      <c r="I46" s="21"/>
      <c r="J46" s="21"/>
      <c r="K46" s="21"/>
    </row>
    <row r="47" spans="1:11" x14ac:dyDescent="0.3">
      <c r="A47" s="1">
        <v>12</v>
      </c>
      <c r="B47" s="10" t="s">
        <v>21</v>
      </c>
      <c r="C47" s="1">
        <v>28</v>
      </c>
      <c r="D47" s="1">
        <v>5</v>
      </c>
      <c r="E47" s="4">
        <f>D47/C47</f>
        <v>0.17857142857142858</v>
      </c>
      <c r="G47" s="1" t="s">
        <v>0</v>
      </c>
      <c r="H47" s="1" t="s">
        <v>32</v>
      </c>
      <c r="I47" s="1" t="s">
        <v>43</v>
      </c>
      <c r="J47" s="1" t="s">
        <v>44</v>
      </c>
      <c r="K47" s="1" t="s">
        <v>4</v>
      </c>
    </row>
    <row r="48" spans="1:11" x14ac:dyDescent="0.3">
      <c r="A48" s="1">
        <v>13</v>
      </c>
      <c r="B48" s="6" t="s">
        <v>6</v>
      </c>
      <c r="C48" s="1">
        <v>34</v>
      </c>
      <c r="D48" s="1">
        <v>6</v>
      </c>
      <c r="E48" s="4">
        <f>D48/C48</f>
        <v>0.17647058823529413</v>
      </c>
      <c r="G48" s="1">
        <v>1</v>
      </c>
      <c r="H48" s="14" t="s">
        <v>33</v>
      </c>
      <c r="I48" s="1">
        <v>4</v>
      </c>
      <c r="J48" s="1">
        <v>4</v>
      </c>
      <c r="K48" s="4">
        <f>J48/I48</f>
        <v>1</v>
      </c>
    </row>
    <row r="49" spans="1:11" x14ac:dyDescent="0.3">
      <c r="A49" s="1">
        <v>14</v>
      </c>
      <c r="B49" s="12" t="s">
        <v>9</v>
      </c>
      <c r="C49" s="1">
        <v>30</v>
      </c>
      <c r="D49" s="1">
        <v>5</v>
      </c>
      <c r="E49" s="4">
        <f>D49/C49</f>
        <v>0.16666666666666666</v>
      </c>
      <c r="G49" s="1">
        <v>2</v>
      </c>
      <c r="H49" s="9" t="s">
        <v>35</v>
      </c>
      <c r="I49" s="1">
        <v>4</v>
      </c>
      <c r="J49" s="1">
        <v>3</v>
      </c>
      <c r="K49" s="4">
        <f>J49/I49</f>
        <v>0.75</v>
      </c>
    </row>
    <row r="50" spans="1:11" x14ac:dyDescent="0.3">
      <c r="A50" s="1">
        <v>15</v>
      </c>
      <c r="B50" s="13" t="s">
        <v>10</v>
      </c>
      <c r="C50" s="1">
        <v>32</v>
      </c>
      <c r="D50" s="1">
        <v>5</v>
      </c>
      <c r="E50" s="4">
        <f>D50/C50</f>
        <v>0.15625</v>
      </c>
      <c r="G50" s="1">
        <v>3</v>
      </c>
      <c r="H50" s="1" t="s">
        <v>37</v>
      </c>
      <c r="I50" s="1">
        <v>4</v>
      </c>
      <c r="J50" s="1">
        <v>3</v>
      </c>
      <c r="K50" s="4">
        <f>J50/I50</f>
        <v>0.75</v>
      </c>
    </row>
    <row r="51" spans="1:11" x14ac:dyDescent="0.3">
      <c r="A51" s="1">
        <v>16</v>
      </c>
      <c r="B51" s="9" t="s">
        <v>20</v>
      </c>
      <c r="C51" s="1">
        <v>28</v>
      </c>
      <c r="D51" s="1">
        <v>3</v>
      </c>
      <c r="E51" s="4">
        <f>D51/C51</f>
        <v>0.10714285714285714</v>
      </c>
      <c r="G51" s="1">
        <v>4</v>
      </c>
      <c r="H51" s="6" t="s">
        <v>34</v>
      </c>
      <c r="I51" s="1">
        <v>4</v>
      </c>
      <c r="J51" s="1">
        <v>2</v>
      </c>
      <c r="K51" s="4">
        <f>J51/I51</f>
        <v>0.5</v>
      </c>
    </row>
    <row r="52" spans="1:11" x14ac:dyDescent="0.3">
      <c r="G52" s="1">
        <v>5</v>
      </c>
      <c r="H52" s="15" t="s">
        <v>36</v>
      </c>
      <c r="I52" s="1">
        <v>4</v>
      </c>
      <c r="J52" s="1">
        <v>2</v>
      </c>
      <c r="K52" s="4">
        <f>J52/I52</f>
        <v>0.5</v>
      </c>
    </row>
    <row r="53" spans="1:11" x14ac:dyDescent="0.3">
      <c r="G53" s="1">
        <v>6</v>
      </c>
      <c r="H53" s="12" t="s">
        <v>38</v>
      </c>
      <c r="I53" s="1">
        <v>4</v>
      </c>
      <c r="J53" s="1">
        <v>2</v>
      </c>
      <c r="K53" s="4">
        <f>J53/I53</f>
        <v>0.5</v>
      </c>
    </row>
    <row r="54" spans="1:11" x14ac:dyDescent="0.3">
      <c r="G54" s="1">
        <v>7</v>
      </c>
      <c r="H54" s="8" t="s">
        <v>39</v>
      </c>
      <c r="I54" s="1">
        <v>4</v>
      </c>
      <c r="J54" s="1">
        <v>0</v>
      </c>
      <c r="K54" s="4">
        <f>J54/I54</f>
        <v>0</v>
      </c>
    </row>
    <row r="55" spans="1:11" x14ac:dyDescent="0.3">
      <c r="G55" s="1">
        <v>8</v>
      </c>
      <c r="H55" s="9" t="s">
        <v>40</v>
      </c>
      <c r="I55" s="1">
        <v>4</v>
      </c>
      <c r="J55" s="1">
        <v>0</v>
      </c>
      <c r="K55" s="4">
        <f>J55/I55</f>
        <v>0</v>
      </c>
    </row>
    <row r="58" spans="1:11" x14ac:dyDescent="0.3">
      <c r="A58" s="21" t="s">
        <v>45</v>
      </c>
      <c r="B58" s="21"/>
      <c r="C58" s="21"/>
      <c r="D58" s="21"/>
      <c r="E58" s="21"/>
    </row>
    <row r="59" spans="1:11" x14ac:dyDescent="0.3">
      <c r="A59" s="21" t="s">
        <v>84</v>
      </c>
      <c r="B59" s="21"/>
      <c r="C59" s="21"/>
      <c r="D59" s="21"/>
      <c r="E59" s="21"/>
    </row>
    <row r="60" spans="1:11" x14ac:dyDescent="0.3">
      <c r="A60" s="1" t="s">
        <v>0</v>
      </c>
      <c r="B60" s="1" t="s">
        <v>1</v>
      </c>
      <c r="C60" s="1" t="s">
        <v>46</v>
      </c>
      <c r="D60" s="1" t="s">
        <v>29</v>
      </c>
      <c r="E60" s="1" t="s">
        <v>4</v>
      </c>
    </row>
    <row r="61" spans="1:11" x14ac:dyDescent="0.3">
      <c r="A61" s="1">
        <v>1</v>
      </c>
      <c r="B61" s="14" t="s">
        <v>23</v>
      </c>
      <c r="C61" s="1">
        <v>5</v>
      </c>
      <c r="D61" s="1">
        <v>5</v>
      </c>
      <c r="E61" s="4">
        <f t="shared" ref="E61:E73" si="0">D61/C61</f>
        <v>1</v>
      </c>
    </row>
    <row r="62" spans="1:11" x14ac:dyDescent="0.3">
      <c r="A62" s="1">
        <v>2</v>
      </c>
      <c r="B62" s="8" t="s">
        <v>19</v>
      </c>
      <c r="C62" s="1">
        <v>20</v>
      </c>
      <c r="D62" s="1">
        <v>10</v>
      </c>
      <c r="E62" s="4">
        <f t="shared" si="0"/>
        <v>0.5</v>
      </c>
    </row>
    <row r="63" spans="1:11" x14ac:dyDescent="0.3">
      <c r="A63" s="1">
        <v>3</v>
      </c>
      <c r="B63" s="7" t="s">
        <v>18</v>
      </c>
      <c r="C63" s="1">
        <v>15</v>
      </c>
      <c r="D63" s="1">
        <v>6</v>
      </c>
      <c r="E63" s="4">
        <f t="shared" si="0"/>
        <v>0.4</v>
      </c>
    </row>
    <row r="64" spans="1:11" x14ac:dyDescent="0.3">
      <c r="A64" s="1">
        <v>4</v>
      </c>
      <c r="B64" s="15" t="s">
        <v>27</v>
      </c>
      <c r="C64" s="1">
        <v>10</v>
      </c>
      <c r="D64" s="1">
        <v>4</v>
      </c>
      <c r="E64" s="4">
        <f t="shared" si="0"/>
        <v>0.4</v>
      </c>
    </row>
    <row r="65" spans="1:5" x14ac:dyDescent="0.3">
      <c r="A65" s="1"/>
      <c r="B65" s="1"/>
      <c r="C65" s="1"/>
      <c r="D65" s="1"/>
      <c r="E65" s="4" t="e">
        <f t="shared" si="0"/>
        <v>#DIV/0!</v>
      </c>
    </row>
    <row r="66" spans="1:5" x14ac:dyDescent="0.3">
      <c r="A66" s="1"/>
      <c r="B66" s="1"/>
      <c r="C66" s="1"/>
      <c r="D66" s="1"/>
      <c r="E66" s="4" t="e">
        <f t="shared" si="0"/>
        <v>#DIV/0!</v>
      </c>
    </row>
    <row r="67" spans="1:5" x14ac:dyDescent="0.3">
      <c r="A67" s="1"/>
      <c r="B67" s="1"/>
      <c r="C67" s="1"/>
      <c r="D67" s="1"/>
      <c r="E67" s="4" t="e">
        <f t="shared" si="0"/>
        <v>#DIV/0!</v>
      </c>
    </row>
    <row r="68" spans="1:5" x14ac:dyDescent="0.3">
      <c r="A68" s="1"/>
      <c r="B68" s="1"/>
      <c r="C68" s="1"/>
      <c r="D68" s="1"/>
      <c r="E68" s="4" t="e">
        <f t="shared" si="0"/>
        <v>#DIV/0!</v>
      </c>
    </row>
    <row r="69" spans="1:5" x14ac:dyDescent="0.3">
      <c r="A69" s="1"/>
      <c r="B69" s="1"/>
      <c r="C69" s="1"/>
      <c r="D69" s="1"/>
      <c r="E69" s="4" t="e">
        <f t="shared" si="0"/>
        <v>#DIV/0!</v>
      </c>
    </row>
    <row r="70" spans="1:5" x14ac:dyDescent="0.3">
      <c r="A70" s="1"/>
      <c r="B70" s="1"/>
      <c r="C70" s="1"/>
      <c r="D70" s="1"/>
      <c r="E70" s="4" t="e">
        <f t="shared" si="0"/>
        <v>#DIV/0!</v>
      </c>
    </row>
    <row r="71" spans="1:5" x14ac:dyDescent="0.3">
      <c r="A71" s="1"/>
      <c r="B71" s="1"/>
      <c r="C71" s="1"/>
      <c r="D71" s="1"/>
      <c r="E71" s="4" t="e">
        <f t="shared" si="0"/>
        <v>#DIV/0!</v>
      </c>
    </row>
    <row r="72" spans="1:5" x14ac:dyDescent="0.3">
      <c r="A72" s="2"/>
      <c r="B72" s="2"/>
      <c r="C72" s="2"/>
      <c r="D72" s="2"/>
      <c r="E72" s="4" t="e">
        <f t="shared" si="0"/>
        <v>#DIV/0!</v>
      </c>
    </row>
    <row r="73" spans="1:5" x14ac:dyDescent="0.3">
      <c r="A73" s="2"/>
      <c r="B73" s="2"/>
      <c r="C73" s="2"/>
      <c r="D73" s="2"/>
      <c r="E73" s="4" t="e">
        <f t="shared" si="0"/>
        <v>#DIV/0!</v>
      </c>
    </row>
    <row r="75" spans="1:5" x14ac:dyDescent="0.3">
      <c r="A75" s="21" t="s">
        <v>47</v>
      </c>
      <c r="B75" s="21"/>
      <c r="C75" s="21"/>
      <c r="D75" s="21"/>
      <c r="E75" s="21"/>
    </row>
    <row r="76" spans="1:5" x14ac:dyDescent="0.3">
      <c r="A76" s="21" t="s">
        <v>84</v>
      </c>
      <c r="B76" s="21"/>
      <c r="C76" s="21"/>
      <c r="D76" s="21"/>
      <c r="E76" s="21"/>
    </row>
    <row r="77" spans="1:5" x14ac:dyDescent="0.3">
      <c r="A77" s="1" t="s">
        <v>0</v>
      </c>
      <c r="B77" s="1" t="s">
        <v>1</v>
      </c>
      <c r="C77" s="1" t="s">
        <v>48</v>
      </c>
      <c r="D77" s="1" t="s">
        <v>44</v>
      </c>
      <c r="E77" s="1" t="s">
        <v>4</v>
      </c>
    </row>
    <row r="78" spans="1:5" x14ac:dyDescent="0.3">
      <c r="A78" s="1">
        <v>1</v>
      </c>
      <c r="B78" s="14" t="s">
        <v>23</v>
      </c>
      <c r="C78" s="1">
        <v>1</v>
      </c>
      <c r="D78" s="1">
        <v>1</v>
      </c>
      <c r="E78" s="4">
        <f>D78/C78</f>
        <v>1</v>
      </c>
    </row>
    <row r="79" spans="1:5" x14ac:dyDescent="0.3">
      <c r="A79" s="1">
        <v>2</v>
      </c>
      <c r="B79" s="7" t="s">
        <v>18</v>
      </c>
      <c r="C79" s="1">
        <v>2</v>
      </c>
      <c r="D79" s="1">
        <v>1</v>
      </c>
      <c r="E79" s="4">
        <f>D79/C79</f>
        <v>0.5</v>
      </c>
    </row>
    <row r="80" spans="1:5" x14ac:dyDescent="0.3">
      <c r="A80" s="1">
        <v>3</v>
      </c>
      <c r="B80" s="8" t="s">
        <v>19</v>
      </c>
      <c r="C80" s="1">
        <v>2</v>
      </c>
      <c r="D80" s="1">
        <v>1</v>
      </c>
      <c r="E80" s="4">
        <f>D80/C80</f>
        <v>0.5</v>
      </c>
    </row>
    <row r="81" spans="1:5" x14ac:dyDescent="0.3">
      <c r="A81" s="1">
        <v>4</v>
      </c>
      <c r="B81" s="15" t="s">
        <v>27</v>
      </c>
      <c r="C81" s="1">
        <v>1</v>
      </c>
      <c r="D81" s="1">
        <v>0</v>
      </c>
      <c r="E81" s="4">
        <f>D81/C81</f>
        <v>0</v>
      </c>
    </row>
    <row r="82" spans="1:5" x14ac:dyDescent="0.3">
      <c r="A82" s="1"/>
      <c r="B82" s="1"/>
      <c r="C82" s="1"/>
      <c r="D82" s="1"/>
      <c r="E82" s="4" t="e">
        <f t="shared" ref="E82:E87" si="1">D82/C82</f>
        <v>#DIV/0!</v>
      </c>
    </row>
    <row r="83" spans="1:5" x14ac:dyDescent="0.3">
      <c r="A83" s="1"/>
      <c r="B83" s="1"/>
      <c r="C83" s="1"/>
      <c r="D83" s="1"/>
      <c r="E83" s="4" t="e">
        <f t="shared" si="1"/>
        <v>#DIV/0!</v>
      </c>
    </row>
    <row r="84" spans="1:5" x14ac:dyDescent="0.3">
      <c r="A84" s="1"/>
      <c r="B84" s="1"/>
      <c r="C84" s="1"/>
      <c r="D84" s="1"/>
      <c r="E84" s="4" t="e">
        <f t="shared" si="1"/>
        <v>#DIV/0!</v>
      </c>
    </row>
    <row r="85" spans="1:5" x14ac:dyDescent="0.3">
      <c r="A85" s="1"/>
      <c r="B85" s="1"/>
      <c r="C85" s="1"/>
      <c r="D85" s="1"/>
      <c r="E85" s="4" t="e">
        <f t="shared" si="1"/>
        <v>#DIV/0!</v>
      </c>
    </row>
    <row r="86" spans="1:5" x14ac:dyDescent="0.3">
      <c r="A86" s="1"/>
      <c r="B86" s="1"/>
      <c r="C86" s="1"/>
      <c r="D86" s="1"/>
      <c r="E86" s="4" t="e">
        <f t="shared" si="1"/>
        <v>#DIV/0!</v>
      </c>
    </row>
    <row r="87" spans="1:5" x14ac:dyDescent="0.3">
      <c r="A87" s="1"/>
      <c r="B87" s="1"/>
      <c r="C87" s="1"/>
      <c r="D87" s="1"/>
      <c r="E87" s="4" t="e">
        <f t="shared" si="1"/>
        <v>#DIV/0!</v>
      </c>
    </row>
  </sheetData>
  <sortState xmlns:xlrd2="http://schemas.microsoft.com/office/spreadsheetml/2017/richdata2" ref="H48:K55">
    <sortCondition descending="1" ref="K47:K55"/>
  </sortState>
  <mergeCells count="18">
    <mergeCell ref="A1:E1"/>
    <mergeCell ref="A2:E2"/>
    <mergeCell ref="A13:E13"/>
    <mergeCell ref="A14:E14"/>
    <mergeCell ref="A33:E33"/>
    <mergeCell ref="A58:E58"/>
    <mergeCell ref="A59:E59"/>
    <mergeCell ref="A75:E75"/>
    <mergeCell ref="A76:E76"/>
    <mergeCell ref="M13:P13"/>
    <mergeCell ref="M14:P14"/>
    <mergeCell ref="G13:K13"/>
    <mergeCell ref="G14:K14"/>
    <mergeCell ref="G33:K33"/>
    <mergeCell ref="G34:K34"/>
    <mergeCell ref="G45:K45"/>
    <mergeCell ref="G46:K46"/>
    <mergeCell ref="A34:E3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25B5-D535-4F73-A6DB-F45F801BEA68}">
  <dimension ref="A1:K55"/>
  <sheetViews>
    <sheetView tabSelected="1" topLeftCell="F34" zoomScale="150" zoomScaleNormal="150" workbookViewId="0">
      <selection activeCell="G38" sqref="G38"/>
    </sheetView>
  </sheetViews>
  <sheetFormatPr defaultRowHeight="14" x14ac:dyDescent="0.3"/>
  <cols>
    <col min="8" max="8" width="14" customWidth="1"/>
  </cols>
  <sheetData>
    <row r="1" spans="1:11" x14ac:dyDescent="0.3">
      <c r="A1" s="18" t="s">
        <v>53</v>
      </c>
      <c r="B1" s="19"/>
      <c r="C1" s="19"/>
      <c r="D1" s="19"/>
      <c r="E1" s="20"/>
      <c r="G1" s="18" t="s">
        <v>58</v>
      </c>
      <c r="H1" s="19"/>
      <c r="I1" s="19"/>
      <c r="J1" s="19"/>
      <c r="K1" s="20"/>
    </row>
    <row r="2" spans="1:11" x14ac:dyDescent="0.3">
      <c r="A2" s="19" t="s">
        <v>84</v>
      </c>
      <c r="B2" s="19"/>
      <c r="C2" s="19"/>
      <c r="D2" s="19"/>
      <c r="E2" s="20"/>
      <c r="G2" s="21" t="s">
        <v>84</v>
      </c>
      <c r="H2" s="21"/>
      <c r="I2" s="21"/>
      <c r="J2" s="21"/>
      <c r="K2" s="21"/>
    </row>
    <row r="3" spans="1:11" x14ac:dyDescent="0.3">
      <c r="A3" s="3" t="s">
        <v>0</v>
      </c>
      <c r="B3" s="3" t="s">
        <v>32</v>
      </c>
      <c r="C3" s="3" t="s">
        <v>46</v>
      </c>
      <c r="D3" s="3" t="s">
        <v>3</v>
      </c>
      <c r="E3" s="3" t="s">
        <v>4</v>
      </c>
      <c r="G3" s="1" t="s">
        <v>0</v>
      </c>
      <c r="H3" s="1" t="s">
        <v>1</v>
      </c>
      <c r="I3" s="1" t="s">
        <v>15</v>
      </c>
      <c r="J3" s="1" t="s">
        <v>29</v>
      </c>
      <c r="K3" s="1" t="s">
        <v>30</v>
      </c>
    </row>
    <row r="4" spans="1:11" x14ac:dyDescent="0.3">
      <c r="A4" s="3">
        <v>1</v>
      </c>
      <c r="B4" s="1" t="s">
        <v>37</v>
      </c>
      <c r="C4" s="3">
        <v>28</v>
      </c>
      <c r="D4" s="3">
        <v>18</v>
      </c>
      <c r="E4" s="16">
        <f>D4/C4</f>
        <v>0.6428571428571429</v>
      </c>
      <c r="G4" s="1">
        <v>1</v>
      </c>
      <c r="H4" s="9" t="s">
        <v>73</v>
      </c>
      <c r="I4" s="1">
        <v>31</v>
      </c>
      <c r="J4" s="1">
        <v>12</v>
      </c>
      <c r="K4" s="4">
        <f>J4/I4</f>
        <v>0.38709677419354838</v>
      </c>
    </row>
    <row r="5" spans="1:11" x14ac:dyDescent="0.3">
      <c r="A5" s="3">
        <v>2</v>
      </c>
      <c r="B5" s="6" t="s">
        <v>34</v>
      </c>
      <c r="C5" s="3">
        <v>31</v>
      </c>
      <c r="D5" s="3">
        <v>18</v>
      </c>
      <c r="E5" s="16">
        <f>D5/C5</f>
        <v>0.58064516129032262</v>
      </c>
      <c r="G5" s="1">
        <v>2</v>
      </c>
      <c r="H5" s="8" t="s">
        <v>62</v>
      </c>
      <c r="I5" s="1">
        <v>32</v>
      </c>
      <c r="J5" s="1">
        <v>12</v>
      </c>
      <c r="K5" s="4">
        <f>J5/I5</f>
        <v>0.375</v>
      </c>
    </row>
    <row r="6" spans="1:11" x14ac:dyDescent="0.3">
      <c r="A6" s="3">
        <v>3</v>
      </c>
      <c r="B6" s="9" t="s">
        <v>35</v>
      </c>
      <c r="C6" s="3">
        <v>28</v>
      </c>
      <c r="D6" s="3">
        <v>16</v>
      </c>
      <c r="E6" s="16">
        <f>D6/C6</f>
        <v>0.5714285714285714</v>
      </c>
      <c r="G6" s="1">
        <v>3</v>
      </c>
      <c r="H6" s="1" t="s">
        <v>79</v>
      </c>
      <c r="I6" s="1">
        <v>28</v>
      </c>
      <c r="J6" s="1">
        <v>9</v>
      </c>
      <c r="K6" s="4">
        <f>J6/I6</f>
        <v>0.32142857142857145</v>
      </c>
    </row>
    <row r="7" spans="1:11" x14ac:dyDescent="0.3">
      <c r="A7" s="3">
        <v>4</v>
      </c>
      <c r="B7" s="14" t="s">
        <v>33</v>
      </c>
      <c r="C7" s="3">
        <v>30</v>
      </c>
      <c r="D7" s="3">
        <v>16</v>
      </c>
      <c r="E7" s="16">
        <f>D7/C7</f>
        <v>0.53333333333333333</v>
      </c>
      <c r="G7" s="1">
        <v>4</v>
      </c>
      <c r="H7" s="15" t="s">
        <v>76</v>
      </c>
      <c r="I7" s="1">
        <v>32</v>
      </c>
      <c r="J7" s="1">
        <v>10</v>
      </c>
      <c r="K7" s="4">
        <f>J7/I7</f>
        <v>0.3125</v>
      </c>
    </row>
    <row r="8" spans="1:11" x14ac:dyDescent="0.3">
      <c r="A8" s="3">
        <v>5</v>
      </c>
      <c r="B8" s="8" t="s">
        <v>39</v>
      </c>
      <c r="C8" s="3">
        <v>29</v>
      </c>
      <c r="D8" s="3">
        <v>15</v>
      </c>
      <c r="E8" s="16">
        <f>D8/C8</f>
        <v>0.51724137931034486</v>
      </c>
      <c r="G8" s="1">
        <v>5</v>
      </c>
      <c r="H8" s="14" t="s">
        <v>70</v>
      </c>
      <c r="I8" s="1">
        <v>28</v>
      </c>
      <c r="J8" s="1">
        <v>8</v>
      </c>
      <c r="K8" s="4">
        <f>J8/I8</f>
        <v>0.2857142857142857</v>
      </c>
    </row>
    <row r="9" spans="1:11" x14ac:dyDescent="0.3">
      <c r="A9" s="3">
        <v>6</v>
      </c>
      <c r="B9" s="12" t="s">
        <v>38</v>
      </c>
      <c r="C9" s="3">
        <v>32</v>
      </c>
      <c r="D9" s="3">
        <v>16</v>
      </c>
      <c r="E9" s="16">
        <f>D9/C9</f>
        <v>0.5</v>
      </c>
      <c r="G9" s="1">
        <v>6</v>
      </c>
      <c r="H9" s="12" t="s">
        <v>66</v>
      </c>
      <c r="I9" s="1">
        <v>29</v>
      </c>
      <c r="J9" s="1">
        <v>8</v>
      </c>
      <c r="K9" s="4">
        <f>J9/I9</f>
        <v>0.27586206896551724</v>
      </c>
    </row>
    <row r="10" spans="1:11" x14ac:dyDescent="0.3">
      <c r="A10" s="3">
        <v>7</v>
      </c>
      <c r="B10" s="15" t="s">
        <v>36</v>
      </c>
      <c r="C10" s="3">
        <v>32</v>
      </c>
      <c r="D10" s="3">
        <v>14</v>
      </c>
      <c r="E10" s="16">
        <f>D10/C10</f>
        <v>0.4375</v>
      </c>
      <c r="G10" s="1">
        <v>7</v>
      </c>
      <c r="H10" s="1" t="s">
        <v>80</v>
      </c>
      <c r="I10" s="1">
        <v>28</v>
      </c>
      <c r="J10" s="1">
        <v>7</v>
      </c>
      <c r="K10" s="4">
        <f>J10/I10</f>
        <v>0.25</v>
      </c>
    </row>
    <row r="11" spans="1:11" x14ac:dyDescent="0.3">
      <c r="A11" s="3">
        <v>8</v>
      </c>
      <c r="B11" s="9" t="s">
        <v>40</v>
      </c>
      <c r="C11" s="3">
        <v>24</v>
      </c>
      <c r="D11" s="3">
        <v>4</v>
      </c>
      <c r="E11" s="16">
        <f>D11/C11</f>
        <v>0.16666666666666666</v>
      </c>
      <c r="G11" s="1">
        <v>8</v>
      </c>
      <c r="H11" s="6" t="s">
        <v>60</v>
      </c>
      <c r="I11" s="1">
        <v>30</v>
      </c>
      <c r="J11" s="1">
        <v>6</v>
      </c>
      <c r="K11" s="4">
        <f>J11/I11</f>
        <v>0.2</v>
      </c>
    </row>
    <row r="12" spans="1:11" x14ac:dyDescent="0.3">
      <c r="G12" s="1">
        <v>9</v>
      </c>
      <c r="H12" s="6" t="s">
        <v>61</v>
      </c>
      <c r="I12" s="1">
        <v>30</v>
      </c>
      <c r="J12" s="1">
        <v>5</v>
      </c>
      <c r="K12" s="4">
        <f>J12/I12</f>
        <v>0.16666666666666666</v>
      </c>
    </row>
    <row r="13" spans="1:11" x14ac:dyDescent="0.3">
      <c r="A13" s="18" t="s">
        <v>54</v>
      </c>
      <c r="B13" s="19"/>
      <c r="C13" s="19"/>
      <c r="D13" s="19"/>
      <c r="E13" s="20"/>
      <c r="G13" s="1">
        <v>10</v>
      </c>
      <c r="H13" s="6" t="s">
        <v>59</v>
      </c>
      <c r="I13" s="1">
        <v>30</v>
      </c>
      <c r="J13" s="1">
        <v>5</v>
      </c>
      <c r="K13" s="4">
        <f>J13/I13</f>
        <v>0.16666666666666666</v>
      </c>
    </row>
    <row r="14" spans="1:11" x14ac:dyDescent="0.3">
      <c r="A14" s="19" t="s">
        <v>84</v>
      </c>
      <c r="B14" s="19"/>
      <c r="C14" s="19"/>
      <c r="D14" s="19"/>
      <c r="E14" s="20"/>
      <c r="G14" s="1">
        <v>11</v>
      </c>
      <c r="H14" s="9" t="s">
        <v>74</v>
      </c>
      <c r="I14" s="1">
        <v>31</v>
      </c>
      <c r="J14" s="1">
        <v>5</v>
      </c>
      <c r="K14" s="4">
        <f>J14/I14</f>
        <v>0.16129032258064516</v>
      </c>
    </row>
    <row r="15" spans="1:11" x14ac:dyDescent="0.3">
      <c r="A15" s="3" t="s">
        <v>0</v>
      </c>
      <c r="B15" s="3" t="s">
        <v>32</v>
      </c>
      <c r="C15" s="3" t="s">
        <v>43</v>
      </c>
      <c r="D15" s="3" t="s">
        <v>3</v>
      </c>
      <c r="E15" s="3" t="s">
        <v>4</v>
      </c>
      <c r="G15" s="1">
        <v>12</v>
      </c>
      <c r="H15" s="14" t="s">
        <v>72</v>
      </c>
      <c r="I15" s="1">
        <v>28</v>
      </c>
      <c r="J15" s="1">
        <v>4</v>
      </c>
      <c r="K15" s="4">
        <f>J15/I15</f>
        <v>0.14285714285714285</v>
      </c>
    </row>
    <row r="16" spans="1:11" x14ac:dyDescent="0.3">
      <c r="A16" s="3">
        <v>1</v>
      </c>
      <c r="B16" s="14" t="s">
        <v>33</v>
      </c>
      <c r="C16" s="3">
        <v>4</v>
      </c>
      <c r="D16" s="3">
        <v>3</v>
      </c>
      <c r="E16" s="16">
        <f>D16/C16</f>
        <v>0.75</v>
      </c>
      <c r="G16" s="1">
        <v>13</v>
      </c>
      <c r="H16" s="14" t="s">
        <v>71</v>
      </c>
      <c r="I16" s="1">
        <v>28</v>
      </c>
      <c r="J16" s="1">
        <v>4</v>
      </c>
      <c r="K16" s="4">
        <f>J16/I16</f>
        <v>0.14285714285714285</v>
      </c>
    </row>
    <row r="17" spans="1:11" x14ac:dyDescent="0.3">
      <c r="A17" s="3">
        <v>2</v>
      </c>
      <c r="B17" s="9" t="s">
        <v>35</v>
      </c>
      <c r="C17" s="3">
        <v>4</v>
      </c>
      <c r="D17" s="3">
        <v>3</v>
      </c>
      <c r="E17" s="16">
        <f>D17/C17</f>
        <v>0.75</v>
      </c>
      <c r="G17" s="1">
        <v>14</v>
      </c>
      <c r="H17" s="12" t="s">
        <v>65</v>
      </c>
      <c r="I17" s="1">
        <v>29</v>
      </c>
      <c r="J17" s="1">
        <v>4</v>
      </c>
      <c r="K17" s="4">
        <f>J17/I17</f>
        <v>0.13793103448275862</v>
      </c>
    </row>
    <row r="18" spans="1:11" x14ac:dyDescent="0.3">
      <c r="A18" s="3">
        <v>3</v>
      </c>
      <c r="B18" s="1" t="s">
        <v>37</v>
      </c>
      <c r="C18" s="3">
        <v>4</v>
      </c>
      <c r="D18" s="3">
        <v>3</v>
      </c>
      <c r="E18" s="16">
        <f>D18/C18</f>
        <v>0.75</v>
      </c>
      <c r="G18" s="1">
        <v>15</v>
      </c>
      <c r="H18" s="12" t="s">
        <v>83</v>
      </c>
      <c r="I18" s="1">
        <v>29</v>
      </c>
      <c r="J18" s="1">
        <v>3</v>
      </c>
      <c r="K18" s="4">
        <f>J18/I18</f>
        <v>0.10344827586206896</v>
      </c>
    </row>
    <row r="19" spans="1:11" x14ac:dyDescent="0.3">
      <c r="A19" s="3">
        <v>4</v>
      </c>
      <c r="B19" s="8" t="s">
        <v>39</v>
      </c>
      <c r="C19" s="3">
        <v>4</v>
      </c>
      <c r="D19" s="3">
        <v>2</v>
      </c>
      <c r="E19" s="16">
        <f>D19/C19</f>
        <v>0.5</v>
      </c>
      <c r="G19" s="1">
        <v>16</v>
      </c>
      <c r="H19" s="8" t="s">
        <v>63</v>
      </c>
      <c r="I19" s="1">
        <v>32</v>
      </c>
      <c r="J19" s="1">
        <v>3</v>
      </c>
      <c r="K19" s="4">
        <f>J19/I19</f>
        <v>9.375E-2</v>
      </c>
    </row>
    <row r="20" spans="1:11" x14ac:dyDescent="0.3">
      <c r="A20" s="3">
        <v>5</v>
      </c>
      <c r="B20" s="6" t="s">
        <v>34</v>
      </c>
      <c r="C20" s="3">
        <v>4</v>
      </c>
      <c r="D20" s="3">
        <v>2</v>
      </c>
      <c r="E20" s="16">
        <f>D20/C20</f>
        <v>0.5</v>
      </c>
      <c r="G20" s="1">
        <v>17</v>
      </c>
      <c r="H20" s="9" t="s">
        <v>68</v>
      </c>
      <c r="I20" s="1">
        <v>24</v>
      </c>
      <c r="J20" s="1">
        <v>2</v>
      </c>
      <c r="K20" s="4">
        <f>J20/I20</f>
        <v>8.3333333333333329E-2</v>
      </c>
    </row>
    <row r="21" spans="1:11" x14ac:dyDescent="0.3">
      <c r="A21" s="3">
        <v>6</v>
      </c>
      <c r="B21" s="12" t="s">
        <v>38</v>
      </c>
      <c r="C21" s="3">
        <v>4</v>
      </c>
      <c r="D21" s="3">
        <v>2</v>
      </c>
      <c r="E21" s="16">
        <f>D21/C21</f>
        <v>0.5</v>
      </c>
      <c r="G21" s="1">
        <v>18</v>
      </c>
      <c r="H21" s="1" t="s">
        <v>81</v>
      </c>
      <c r="I21" s="1">
        <v>28</v>
      </c>
      <c r="J21" s="1">
        <v>2</v>
      </c>
      <c r="K21" s="4">
        <f>J21/I21</f>
        <v>7.1428571428571425E-2</v>
      </c>
    </row>
    <row r="22" spans="1:11" x14ac:dyDescent="0.3">
      <c r="A22" s="3">
        <v>7</v>
      </c>
      <c r="B22" s="15" t="s">
        <v>36</v>
      </c>
      <c r="C22" s="3">
        <v>4</v>
      </c>
      <c r="D22" s="3">
        <v>1</v>
      </c>
      <c r="E22" s="16">
        <f>D22/C22</f>
        <v>0.25</v>
      </c>
      <c r="G22" s="1">
        <v>19</v>
      </c>
      <c r="H22" s="15" t="s">
        <v>78</v>
      </c>
      <c r="I22" s="1">
        <v>32</v>
      </c>
      <c r="J22" s="1">
        <v>2</v>
      </c>
      <c r="K22" s="4">
        <f>J22/I22</f>
        <v>6.25E-2</v>
      </c>
    </row>
    <row r="23" spans="1:11" x14ac:dyDescent="0.3">
      <c r="A23" s="3">
        <v>8</v>
      </c>
      <c r="B23" s="9" t="s">
        <v>40</v>
      </c>
      <c r="C23" s="3">
        <v>4</v>
      </c>
      <c r="D23" s="3">
        <v>0</v>
      </c>
      <c r="E23" s="16">
        <f>D23/C23</f>
        <v>0</v>
      </c>
      <c r="G23" s="1">
        <v>20</v>
      </c>
      <c r="H23" s="15" t="s">
        <v>77</v>
      </c>
      <c r="I23" s="1">
        <v>32</v>
      </c>
      <c r="J23" s="1">
        <v>2</v>
      </c>
      <c r="K23" s="4">
        <f>J23/I23</f>
        <v>6.25E-2</v>
      </c>
    </row>
    <row r="24" spans="1:11" x14ac:dyDescent="0.3">
      <c r="G24" s="1">
        <v>21</v>
      </c>
      <c r="H24" s="9" t="s">
        <v>67</v>
      </c>
      <c r="I24" s="1">
        <v>24</v>
      </c>
      <c r="J24" s="1">
        <v>1</v>
      </c>
      <c r="K24" s="4">
        <f>J24/I24</f>
        <v>4.1666666666666664E-2</v>
      </c>
    </row>
    <row r="25" spans="1:11" x14ac:dyDescent="0.3">
      <c r="A25" s="18" t="s">
        <v>55</v>
      </c>
      <c r="B25" s="19"/>
      <c r="C25" s="19"/>
      <c r="D25" s="19"/>
      <c r="E25" s="20"/>
      <c r="G25" s="1">
        <v>22</v>
      </c>
      <c r="H25" s="9" t="s">
        <v>69</v>
      </c>
      <c r="I25" s="1">
        <v>24</v>
      </c>
      <c r="J25" s="1">
        <v>1</v>
      </c>
      <c r="K25" s="4">
        <f>J25/I25</f>
        <v>4.1666666666666664E-2</v>
      </c>
    </row>
    <row r="26" spans="1:11" x14ac:dyDescent="0.3">
      <c r="A26" s="19" t="s">
        <v>84</v>
      </c>
      <c r="B26" s="19"/>
      <c r="C26" s="19"/>
      <c r="D26" s="19"/>
      <c r="E26" s="20"/>
      <c r="G26" s="1">
        <v>23</v>
      </c>
      <c r="H26" s="9" t="s">
        <v>75</v>
      </c>
      <c r="I26" s="1">
        <v>31</v>
      </c>
      <c r="J26" s="1">
        <v>1</v>
      </c>
      <c r="K26" s="4">
        <f>J26/I26</f>
        <v>3.2258064516129031E-2</v>
      </c>
    </row>
    <row r="27" spans="1:11" x14ac:dyDescent="0.3">
      <c r="A27" s="3" t="s">
        <v>0</v>
      </c>
      <c r="B27" s="3" t="s">
        <v>32</v>
      </c>
      <c r="C27" s="3" t="s">
        <v>43</v>
      </c>
      <c r="D27" s="3" t="s">
        <v>56</v>
      </c>
      <c r="E27" s="3" t="s">
        <v>57</v>
      </c>
      <c r="G27" s="1">
        <v>24</v>
      </c>
      <c r="H27" s="8" t="s">
        <v>64</v>
      </c>
      <c r="I27" s="1">
        <v>32</v>
      </c>
      <c r="J27" s="1">
        <v>1</v>
      </c>
      <c r="K27" s="4">
        <f>J27/I27</f>
        <v>3.125E-2</v>
      </c>
    </row>
    <row r="28" spans="1:11" x14ac:dyDescent="0.3">
      <c r="A28" s="3">
        <v>1</v>
      </c>
      <c r="B28" s="1" t="s">
        <v>37</v>
      </c>
      <c r="C28" s="3">
        <v>4</v>
      </c>
      <c r="D28" s="3">
        <v>8</v>
      </c>
      <c r="E28" s="17">
        <f>D28/C28</f>
        <v>2</v>
      </c>
    </row>
    <row r="29" spans="1:11" x14ac:dyDescent="0.3">
      <c r="A29" s="3">
        <v>2</v>
      </c>
      <c r="B29" s="9" t="s">
        <v>35</v>
      </c>
      <c r="C29" s="3">
        <v>4</v>
      </c>
      <c r="D29" s="3">
        <v>5</v>
      </c>
      <c r="E29" s="17">
        <f>D29/C29</f>
        <v>1.25</v>
      </c>
      <c r="G29" s="18" t="s">
        <v>82</v>
      </c>
      <c r="H29" s="19"/>
      <c r="I29" s="19"/>
      <c r="J29" s="20"/>
    </row>
    <row r="30" spans="1:11" x14ac:dyDescent="0.3">
      <c r="A30" s="3">
        <v>3</v>
      </c>
      <c r="B30" s="14" t="s">
        <v>33</v>
      </c>
      <c r="C30" s="3">
        <v>4</v>
      </c>
      <c r="D30" s="3">
        <v>4</v>
      </c>
      <c r="E30" s="17">
        <f>D30/C30</f>
        <v>1</v>
      </c>
      <c r="G30" s="18" t="s">
        <v>84</v>
      </c>
      <c r="H30" s="19"/>
      <c r="I30" s="19"/>
      <c r="J30" s="20"/>
    </row>
    <row r="31" spans="1:11" x14ac:dyDescent="0.3">
      <c r="A31" s="3">
        <v>4</v>
      </c>
      <c r="B31" s="6" t="s">
        <v>34</v>
      </c>
      <c r="C31" s="3">
        <v>4</v>
      </c>
      <c r="D31" s="3">
        <v>2</v>
      </c>
      <c r="E31" s="17">
        <f>D31/C31</f>
        <v>0.5</v>
      </c>
      <c r="G31" s="1" t="s">
        <v>0</v>
      </c>
      <c r="H31" s="1" t="s">
        <v>1</v>
      </c>
      <c r="I31" s="1" t="s">
        <v>43</v>
      </c>
      <c r="J31" s="1" t="s">
        <v>52</v>
      </c>
    </row>
    <row r="32" spans="1:11" x14ac:dyDescent="0.3">
      <c r="A32" s="3">
        <v>5</v>
      </c>
      <c r="B32" s="12" t="s">
        <v>38</v>
      </c>
      <c r="C32" s="3">
        <v>4</v>
      </c>
      <c r="D32" s="3">
        <v>1</v>
      </c>
      <c r="E32" s="17">
        <f>D32/C32</f>
        <v>0.25</v>
      </c>
      <c r="G32" s="1">
        <v>1</v>
      </c>
      <c r="H32" s="8" t="s">
        <v>62</v>
      </c>
      <c r="I32" s="1">
        <v>4</v>
      </c>
      <c r="J32" s="1">
        <v>2</v>
      </c>
    </row>
    <row r="33" spans="1:10" x14ac:dyDescent="0.3">
      <c r="A33" s="3">
        <v>6</v>
      </c>
      <c r="B33" s="8" t="s">
        <v>39</v>
      </c>
      <c r="C33" s="3">
        <v>4</v>
      </c>
      <c r="D33" s="3">
        <v>0</v>
      </c>
      <c r="E33" s="17">
        <f>D33/C33</f>
        <v>0</v>
      </c>
      <c r="G33" s="1">
        <v>2</v>
      </c>
      <c r="H33" s="9" t="s">
        <v>74</v>
      </c>
      <c r="I33" s="1">
        <v>4</v>
      </c>
      <c r="J33" s="1">
        <v>2</v>
      </c>
    </row>
    <row r="34" spans="1:10" x14ac:dyDescent="0.3">
      <c r="A34" s="3">
        <v>7</v>
      </c>
      <c r="B34" s="15" t="s">
        <v>36</v>
      </c>
      <c r="C34" s="3">
        <v>4</v>
      </c>
      <c r="D34" s="3">
        <v>-4</v>
      </c>
      <c r="E34" s="17">
        <f>D34/C34</f>
        <v>-1</v>
      </c>
      <c r="G34" s="1">
        <v>3</v>
      </c>
      <c r="H34" s="15" t="s">
        <v>76</v>
      </c>
      <c r="I34" s="1">
        <v>4</v>
      </c>
      <c r="J34" s="1">
        <v>1</v>
      </c>
    </row>
    <row r="35" spans="1:10" x14ac:dyDescent="0.3">
      <c r="A35" s="3">
        <v>8</v>
      </c>
      <c r="B35" s="9" t="s">
        <v>40</v>
      </c>
      <c r="C35" s="3">
        <v>4</v>
      </c>
      <c r="D35" s="3">
        <v>-16</v>
      </c>
      <c r="E35" s="17">
        <f>D35/C35</f>
        <v>-4</v>
      </c>
      <c r="G35" s="1">
        <v>4</v>
      </c>
      <c r="H35" s="9" t="s">
        <v>73</v>
      </c>
      <c r="I35" s="1">
        <v>4</v>
      </c>
      <c r="J35" s="1">
        <v>1</v>
      </c>
    </row>
    <row r="36" spans="1:10" x14ac:dyDescent="0.3">
      <c r="G36" s="1">
        <v>5</v>
      </c>
      <c r="H36" s="14" t="s">
        <v>70</v>
      </c>
      <c r="I36" s="1">
        <v>4</v>
      </c>
      <c r="J36" s="1">
        <v>1</v>
      </c>
    </row>
    <row r="37" spans="1:10" x14ac:dyDescent="0.3">
      <c r="G37" s="1">
        <v>6</v>
      </c>
      <c r="H37" s="1" t="s">
        <v>80</v>
      </c>
      <c r="I37" s="1">
        <v>4</v>
      </c>
      <c r="J37" s="1">
        <v>1</v>
      </c>
    </row>
    <row r="38" spans="1:10" x14ac:dyDescent="0.3">
      <c r="G38" s="1">
        <v>7</v>
      </c>
      <c r="H38" s="14" t="s">
        <v>72</v>
      </c>
      <c r="I38" s="1">
        <v>4</v>
      </c>
      <c r="J38" s="1">
        <v>1</v>
      </c>
    </row>
    <row r="39" spans="1:10" x14ac:dyDescent="0.3">
      <c r="G39" s="1">
        <v>8</v>
      </c>
      <c r="H39" s="12" t="s">
        <v>83</v>
      </c>
      <c r="I39" s="1">
        <v>4</v>
      </c>
      <c r="J39" s="1">
        <v>1</v>
      </c>
    </row>
    <row r="40" spans="1:10" x14ac:dyDescent="0.3">
      <c r="G40" s="1">
        <v>9</v>
      </c>
      <c r="H40" s="14" t="s">
        <v>71</v>
      </c>
      <c r="I40" s="1">
        <v>4</v>
      </c>
      <c r="J40" s="1">
        <v>1</v>
      </c>
    </row>
    <row r="41" spans="1:10" x14ac:dyDescent="0.3">
      <c r="G41" s="1">
        <v>10</v>
      </c>
      <c r="H41" s="6" t="s">
        <v>60</v>
      </c>
      <c r="I41" s="1">
        <v>4</v>
      </c>
      <c r="J41" s="1">
        <v>1</v>
      </c>
    </row>
    <row r="42" spans="1:10" x14ac:dyDescent="0.3">
      <c r="G42" s="1">
        <v>11</v>
      </c>
      <c r="H42" s="1" t="s">
        <v>79</v>
      </c>
      <c r="I42" s="1">
        <v>4</v>
      </c>
      <c r="J42" s="1">
        <v>1</v>
      </c>
    </row>
    <row r="43" spans="1:10" x14ac:dyDescent="0.3">
      <c r="G43" s="1">
        <v>12</v>
      </c>
      <c r="H43" s="6" t="s">
        <v>61</v>
      </c>
      <c r="I43" s="1">
        <v>4</v>
      </c>
      <c r="J43" s="1">
        <v>1</v>
      </c>
    </row>
    <row r="44" spans="1:10" x14ac:dyDescent="0.3">
      <c r="G44" s="1">
        <v>13</v>
      </c>
      <c r="H44" s="12" t="s">
        <v>66</v>
      </c>
      <c r="I44" s="1">
        <v>4</v>
      </c>
      <c r="J44" s="1">
        <v>1</v>
      </c>
    </row>
    <row r="45" spans="1:10" x14ac:dyDescent="0.3">
      <c r="G45" s="1">
        <v>14</v>
      </c>
      <c r="H45" s="1" t="s">
        <v>81</v>
      </c>
      <c r="I45" s="1">
        <v>4</v>
      </c>
      <c r="J45" s="1">
        <v>1</v>
      </c>
    </row>
    <row r="46" spans="1:10" x14ac:dyDescent="0.3">
      <c r="G46" s="1">
        <v>15</v>
      </c>
      <c r="H46" s="6" t="s">
        <v>59</v>
      </c>
      <c r="I46" s="1">
        <v>4</v>
      </c>
      <c r="J46" s="1">
        <v>0</v>
      </c>
    </row>
    <row r="47" spans="1:10" x14ac:dyDescent="0.3">
      <c r="G47" s="1">
        <v>16</v>
      </c>
      <c r="H47" s="12" t="s">
        <v>65</v>
      </c>
      <c r="I47" s="1">
        <v>4</v>
      </c>
      <c r="J47" s="1">
        <v>0</v>
      </c>
    </row>
    <row r="48" spans="1:10" x14ac:dyDescent="0.3">
      <c r="G48" s="1">
        <v>17</v>
      </c>
      <c r="H48" s="8" t="s">
        <v>63</v>
      </c>
      <c r="I48" s="1">
        <v>4</v>
      </c>
      <c r="J48" s="1">
        <v>0</v>
      </c>
    </row>
    <row r="49" spans="7:10" x14ac:dyDescent="0.3">
      <c r="G49" s="1">
        <v>18</v>
      </c>
      <c r="H49" s="9" t="s">
        <v>68</v>
      </c>
      <c r="I49" s="1">
        <v>4</v>
      </c>
      <c r="J49" s="1">
        <v>0</v>
      </c>
    </row>
    <row r="50" spans="7:10" x14ac:dyDescent="0.3">
      <c r="G50" s="1">
        <v>19</v>
      </c>
      <c r="H50" s="15" t="s">
        <v>78</v>
      </c>
      <c r="I50" s="1">
        <v>4</v>
      </c>
      <c r="J50" s="1">
        <v>0</v>
      </c>
    </row>
    <row r="51" spans="7:10" x14ac:dyDescent="0.3">
      <c r="G51" s="1">
        <v>20</v>
      </c>
      <c r="H51" s="9" t="s">
        <v>67</v>
      </c>
      <c r="I51" s="1">
        <v>4</v>
      </c>
      <c r="J51" s="1">
        <v>0</v>
      </c>
    </row>
    <row r="52" spans="7:10" x14ac:dyDescent="0.3">
      <c r="G52" s="1">
        <v>21</v>
      </c>
      <c r="H52" s="9" t="s">
        <v>75</v>
      </c>
      <c r="I52" s="1">
        <v>4</v>
      </c>
      <c r="J52" s="1">
        <v>0</v>
      </c>
    </row>
    <row r="53" spans="7:10" x14ac:dyDescent="0.3">
      <c r="G53" s="1">
        <v>22</v>
      </c>
      <c r="H53" s="8" t="s">
        <v>64</v>
      </c>
      <c r="I53" s="1">
        <v>4</v>
      </c>
      <c r="J53" s="1">
        <v>0</v>
      </c>
    </row>
    <row r="54" spans="7:10" x14ac:dyDescent="0.3">
      <c r="G54" s="1">
        <v>23</v>
      </c>
      <c r="H54" s="9" t="s">
        <v>69</v>
      </c>
      <c r="I54" s="1">
        <v>4</v>
      </c>
      <c r="J54" s="1">
        <v>0</v>
      </c>
    </row>
    <row r="55" spans="7:10" x14ac:dyDescent="0.3">
      <c r="G55" s="1">
        <v>24</v>
      </c>
      <c r="H55" s="15" t="s">
        <v>77</v>
      </c>
      <c r="I55" s="1">
        <v>4</v>
      </c>
      <c r="J55" s="1">
        <v>0</v>
      </c>
    </row>
  </sheetData>
  <sortState xmlns:xlrd2="http://schemas.microsoft.com/office/spreadsheetml/2017/richdata2" ref="H32:J55">
    <sortCondition descending="1" ref="J31:J55"/>
  </sortState>
  <mergeCells count="10">
    <mergeCell ref="G1:K1"/>
    <mergeCell ref="G2:K2"/>
    <mergeCell ref="G30:J30"/>
    <mergeCell ref="G29:J29"/>
    <mergeCell ref="A1:E1"/>
    <mergeCell ref="A2:E2"/>
    <mergeCell ref="A13:E13"/>
    <mergeCell ref="A14:E14"/>
    <mergeCell ref="A25:E25"/>
    <mergeCell ref="A26:E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竞速数据</vt:lpstr>
      <vt:lpstr>道具数据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逆水</dc:creator>
  <cp:lastModifiedBy>王刚 原</cp:lastModifiedBy>
  <dcterms:created xsi:type="dcterms:W3CDTF">2015-06-05T18:19:34Z</dcterms:created>
  <dcterms:modified xsi:type="dcterms:W3CDTF">2026-09-21T02:40:50Z</dcterms:modified>
</cp:coreProperties>
</file>